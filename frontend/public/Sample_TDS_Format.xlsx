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xr:revisionPtr revIDLastSave="0" documentId="13_ncr:1_{D02B4745-025F-44B7-BCC1-A21F27D61989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Depot-SCB" sheetId="2" r:id="rId1"/>
  </sheets>
  <definedNames>
    <definedName name="_xlnm._FilterDatabase" localSheetId="0" hidden="1">'Depot-SCB'!$A$3:$U$3272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690" i="2" l="1"/>
  <c r="I2" i="2"/>
</calcChain>
</file>

<file path=xl/sharedStrings.xml><?xml version="1.0" encoding="utf-8"?>
<sst xmlns="http://schemas.openxmlformats.org/spreadsheetml/2006/main" count="3335" uniqueCount="665">
  <si>
    <t>Cheque Date</t>
  </si>
  <si>
    <t>Cheque Number</t>
  </si>
  <si>
    <t>Supplier Name</t>
  </si>
  <si>
    <t>Sum of Bill Amount</t>
  </si>
  <si>
    <t>Sum of TDS</t>
  </si>
  <si>
    <t>Section</t>
  </si>
  <si>
    <t>TIN</t>
  </si>
  <si>
    <t>Challan No</t>
  </si>
  <si>
    <t>Challan Date</t>
  </si>
  <si>
    <t>Month</t>
  </si>
  <si>
    <t>Total Challan Amount</t>
  </si>
  <si>
    <t>BD. LIFT LIMITED</t>
  </si>
  <si>
    <t>AL-MADINA ENTERPRISE</t>
  </si>
  <si>
    <t>GENERAL ELEVATOR CORP BANGLADESH</t>
  </si>
  <si>
    <t>NAVANA FURNITURE LTD.</t>
  </si>
  <si>
    <t>UCEP Bangladesh</t>
  </si>
  <si>
    <t>15/01/2026</t>
  </si>
  <si>
    <t>Cheque/Challan SL</t>
  </si>
  <si>
    <t>December'25</t>
  </si>
  <si>
    <t>Cannon Pest Management(Bangladesh) Pvt Ltd</t>
  </si>
  <si>
    <t>M/S Salam Mollah Enterprise</t>
  </si>
  <si>
    <t>NURJAHAN ENTERPRISE</t>
  </si>
  <si>
    <t>City Max Digital Printing Point</t>
  </si>
  <si>
    <t>Meghla Printing &amp; Graphics(701)</t>
  </si>
  <si>
    <t>Faith Associates - Turag Depot</t>
  </si>
  <si>
    <t>Eshika Trade International</t>
  </si>
  <si>
    <t>AMIN PAPER STORE(BURIGONGA DEPOT)(701)</t>
  </si>
  <si>
    <t>SAMU ENTERPRISE</t>
  </si>
  <si>
    <t>Olekha(710)</t>
  </si>
  <si>
    <t>Lucky Opset Printers</t>
  </si>
  <si>
    <t>PAIKARY HAT</t>
  </si>
  <si>
    <t>Monir Enterprise</t>
  </si>
  <si>
    <t>Saiful Enterprise</t>
  </si>
  <si>
    <t>Goodluck Printing Press</t>
  </si>
  <si>
    <t>Amena Ofset Press</t>
  </si>
  <si>
    <t>Shiblu Enterprise</t>
  </si>
  <si>
    <t>Rahim Enterprise</t>
  </si>
  <si>
    <t>Mohammad Harun or Rashid</t>
  </si>
  <si>
    <t>DM Habibur Rahoman</t>
  </si>
  <si>
    <t>Habib Mulla Printing Suppliers</t>
  </si>
  <si>
    <t>M/S Shakal Shanday Enterprise</t>
  </si>
  <si>
    <t>Mr. Ashek Md. Shakwthreza Chy.</t>
  </si>
  <si>
    <t>Mr. Md. Faruque</t>
  </si>
  <si>
    <t>L.A. Marketing</t>
  </si>
  <si>
    <t>Mr. Md. Jalil</t>
  </si>
  <si>
    <t>M/S. Afroz Construction</t>
  </si>
  <si>
    <t>Madani Printers</t>
  </si>
  <si>
    <t>M/S. Bismillah Store</t>
  </si>
  <si>
    <t>M/S Goodluck Traders-Rangpur</t>
  </si>
  <si>
    <t>RAHMAN TRADERS-709</t>
  </si>
  <si>
    <t>Jowel Ahmed Chowdhury, Modina Market Micro Stand, Sylhet-706</t>
  </si>
  <si>
    <t>Md. Sumon Ahmed</t>
  </si>
  <si>
    <t>STAR APOLLO (703)</t>
  </si>
  <si>
    <t>Abduss Sattar</t>
  </si>
  <si>
    <t>Md.Yousuf Bhuyan (Delivery Van Owner)</t>
  </si>
  <si>
    <t>M/S NUR ISLAM MEMBER</t>
  </si>
  <si>
    <t>FARAJI STORE-722</t>
  </si>
  <si>
    <t>Bhai Bhai Stationary-722</t>
  </si>
  <si>
    <t>PROSHARI EXCLUSIVE-722</t>
  </si>
  <si>
    <t>UNITED PRINTERS(709)</t>
  </si>
  <si>
    <t>M/S SELIM PAPERS(720)</t>
  </si>
  <si>
    <t>R R PAPERS (710)</t>
  </si>
  <si>
    <t>M/S Development Planning Construction-710</t>
  </si>
  <si>
    <t>Maa Shitola Bhander</t>
  </si>
  <si>
    <t>NEW M/S SR PRINTERS-708</t>
  </si>
  <si>
    <t>SKS PRINTERS</t>
  </si>
  <si>
    <t>Forhad Foods(Mr. Md. Edu Miah)</t>
  </si>
  <si>
    <t>M/S. Allah Varasha Enterprise(716)</t>
  </si>
  <si>
    <t>Alif Enterprise(Bhairab Depot)</t>
  </si>
  <si>
    <t>M. I. Enterprise</t>
  </si>
  <si>
    <t>New Mitali Printers</t>
  </si>
  <si>
    <t>SHAHANSHAH PRINTERS</t>
  </si>
  <si>
    <t>KHONDOKER LOGISTICS</t>
  </si>
  <si>
    <t>MAA INTERNATIONAL PRINTING PRESS</t>
  </si>
  <si>
    <t>GLOVE OFFSET PRESS</t>
  </si>
  <si>
    <t>Amina Computer &amp; Offset Printers</t>
  </si>
  <si>
    <t>Jonone Offset Printers(Surma Depot)</t>
  </si>
  <si>
    <t>M/s Matin Printing and Packaging</t>
  </si>
  <si>
    <t>Rhyme Printing Press</t>
  </si>
  <si>
    <t>Fair printing press</t>
  </si>
  <si>
    <t>M/s. Jakir Enterprise</t>
  </si>
  <si>
    <t>A. RAHMAN PRESS-720</t>
  </si>
  <si>
    <t>Bengal Enterprise</t>
  </si>
  <si>
    <t>PAPYRUS OFFSET PRESS</t>
  </si>
  <si>
    <t>M/S KAGAJ GHAR-718</t>
  </si>
  <si>
    <t>MILU COMPUTER &amp; PRINTERS</t>
  </si>
  <si>
    <t>M/S MAHIM ENTERPRISE</t>
  </si>
  <si>
    <t>Maria Press</t>
  </si>
  <si>
    <t>Parichaya Printers</t>
  </si>
  <si>
    <t>Ranger Bari Graphics &amp; Printing</t>
  </si>
  <si>
    <t>Polly Business Centre(704)</t>
  </si>
  <si>
    <t>Victoria Convention Hall &amp; Restaurant</t>
  </si>
  <si>
    <t>RAINEY PARK RESTAURANT-711</t>
  </si>
  <si>
    <t>DULAN POROBOHAN</t>
  </si>
  <si>
    <t>M/S. GRAPHICS PRINTERS (703)</t>
  </si>
  <si>
    <t>SIRAJ ENTERPRISE (HIRED VAN)(701)</t>
  </si>
  <si>
    <t>AZGOR  ENTERPRISE(701)</t>
  </si>
  <si>
    <t>BK ENTERPRISE(701)</t>
  </si>
  <si>
    <t>NOOR AUTOTEK (701)</t>
  </si>
  <si>
    <t>ABU BAKKAR ENTERPRISE(701)</t>
  </si>
  <si>
    <t>PIRUJPUR ENTERPRISE</t>
  </si>
  <si>
    <t>A. Rahman Press</t>
  </si>
  <si>
    <t>Sifat Printing Press</t>
  </si>
  <si>
    <t>Reyan Printing Press</t>
  </si>
  <si>
    <t>Western Inn International Ltd.</t>
  </si>
  <si>
    <t>FAROK ENTERPRISE</t>
  </si>
  <si>
    <t>M/S MADINA STATIONARY(709)</t>
  </si>
  <si>
    <t>QUALITY DESIGN &amp; PRINT</t>
  </si>
  <si>
    <t>A sign(Faridpur Depot)</t>
  </si>
  <si>
    <t>M/S SHRABAN PRINTERS</t>
  </si>
  <si>
    <t>M/S. PARADISE ENGINEERING WORKS</t>
  </si>
  <si>
    <t>JOLLY PRINTER</t>
  </si>
  <si>
    <t>PRINTOUT DIGITAL SIGN (701)</t>
  </si>
  <si>
    <t>TOPNICH ASSOCIATES BD LIMITED</t>
  </si>
  <si>
    <t>MD. HARUN Or RASHID(Hired Van Owner)</t>
  </si>
  <si>
    <t>RANGDHONU OFFSET PRINTING PRESS-711</t>
  </si>
  <si>
    <t>Adhunik Press</t>
  </si>
  <si>
    <t xml:space="preserve">Kashful Offset Printing Press </t>
  </si>
  <si>
    <t>Prattasha Printing &amp; Packging</t>
  </si>
  <si>
    <t>Bhuian Printing Press</t>
  </si>
  <si>
    <t>M/S. S.K. COMPUTER(716)</t>
  </si>
  <si>
    <t xml:space="preserve">M/S. Mahmoda Opset &amp;amp; Pavel Paper House(716) </t>
  </si>
  <si>
    <t>MIM PRINTERS &amp; CARD CENTER-710</t>
  </si>
  <si>
    <t>REAL TECH ENGINEERING-721</t>
  </si>
  <si>
    <t>ZAM ZAM ENTERPRISE721</t>
  </si>
  <si>
    <t>Printing Zone &amp; Paper House(701)</t>
  </si>
  <si>
    <t>Creative Computers and Offset Printing Press(701)</t>
  </si>
  <si>
    <t>Ma Stationery And Paper House ( CD)</t>
  </si>
  <si>
    <t>M/S JAHID ENTERPRISE-708</t>
  </si>
  <si>
    <t>M/S. PARICHAYA</t>
  </si>
  <si>
    <t xml:space="preserve">SUJON ART &amp; GURUDAS DIGITAL SIGH </t>
  </si>
  <si>
    <t>BROTHERS FURNITURES LTD (703)</t>
  </si>
  <si>
    <t>M/S. PURNATA PRINTING AND PACKAGING(716)</t>
  </si>
  <si>
    <t>Backbone Printing &amp; Supplire(701)</t>
  </si>
  <si>
    <t>M/S BIROJ PRESS</t>
  </si>
  <si>
    <t>Print Expart</t>
  </si>
  <si>
    <t>Madina Enterprise - Turag Depot</t>
  </si>
  <si>
    <t>CRESCENT PRINTING-717</t>
  </si>
  <si>
    <t>M/S S ALAM TRADERS(705)</t>
  </si>
  <si>
    <t>GCI LIMITED-705</t>
  </si>
  <si>
    <t>Bismillah Offset Printing Press</t>
  </si>
  <si>
    <t>Ad. Point</t>
  </si>
  <si>
    <t>HOTEL ELITE PALACE</t>
  </si>
  <si>
    <t>ALAM PRESS(718)</t>
  </si>
  <si>
    <t>Hamid &amp; Brothers</t>
  </si>
  <si>
    <t>S M Enterprice</t>
  </si>
  <si>
    <t>MNS Trade Link</t>
  </si>
  <si>
    <t>Md.Raihan Chowdhury (Rinku)</t>
  </si>
  <si>
    <t>Mesars Rabbi Enterprise</t>
  </si>
  <si>
    <t>ASPADA TRAINING ACADEMY</t>
  </si>
  <si>
    <t>M/S AL MAMUN OFFSET PRESS</t>
  </si>
  <si>
    <t>M/S. NUR ALUMINIUM AND CROCARISE STORE (720)</t>
  </si>
  <si>
    <t>Procher(710)</t>
  </si>
  <si>
    <t>BURO TRAINING CENTER JASHORE-710</t>
  </si>
  <si>
    <t>M/S KASHEM ENTERPRISE-702</t>
  </si>
  <si>
    <t>Royal Printers - Turag Depot</t>
  </si>
  <si>
    <t>Ruma Digital Printers (716)</t>
  </si>
  <si>
    <t>M/S J K STATIONERY</t>
  </si>
  <si>
    <t>Moon International</t>
  </si>
  <si>
    <t>Aziz Opset Press(713)</t>
  </si>
  <si>
    <t>M/S PADMA PRINTERS &amp; PAPERS</t>
  </si>
  <si>
    <t>BORNIL PRINTING PRESS-718</t>
  </si>
  <si>
    <t>KUTI STORE-713</t>
  </si>
  <si>
    <t>SINGAIR OFFSET PRESS - 717</t>
  </si>
  <si>
    <t>M M TRADING (BURIGONGA DEPOT)(701)</t>
  </si>
  <si>
    <t>PRINT PALACE</t>
  </si>
  <si>
    <t>M/S BAI BAI KAGOJ GHAR &amp; STATIONARY</t>
  </si>
  <si>
    <t>DESHA HOTEL AND RESTAURANT (720)</t>
  </si>
  <si>
    <t>M/S. Moksed Enterprise</t>
  </si>
  <si>
    <t>M/S BATEN ENTERPRISE</t>
  </si>
  <si>
    <t>DUI VAI PORIBAHAN</t>
  </si>
  <si>
    <t xml:space="preserve">P L Spectrum Ltd. </t>
  </si>
  <si>
    <t>PIONEER INTERNATIONAL</t>
  </si>
  <si>
    <t>N N ENTERPRISE</t>
  </si>
  <si>
    <t>Monju Enterprise.</t>
  </si>
  <si>
    <t>M/S SHOVON OFFSET PRESS (703)</t>
  </si>
  <si>
    <t>A.K. ENTERPRISE</t>
  </si>
  <si>
    <t>Mr. Nur Uddin – Contract Van Driver</t>
  </si>
  <si>
    <t>M/S. S. S. Corporation</t>
  </si>
  <si>
    <t>Fortune Enterprise</t>
  </si>
  <si>
    <t>M/S GRAPHICS PRINTERS-713</t>
  </si>
  <si>
    <t>2526-00229410761</t>
  </si>
  <si>
    <t>558200700412</t>
  </si>
  <si>
    <t>458242133923</t>
  </si>
  <si>
    <t>166194333631</t>
  </si>
  <si>
    <t>817660234548</t>
  </si>
  <si>
    <t>166129125083</t>
  </si>
  <si>
    <t>892866572381</t>
  </si>
  <si>
    <t>818540228077</t>
  </si>
  <si>
    <t>190384836703</t>
  </si>
  <si>
    <t>724110658510</t>
  </si>
  <si>
    <t>134628960985</t>
  </si>
  <si>
    <t>236065719435</t>
  </si>
  <si>
    <t>620615783510</t>
  </si>
  <si>
    <t>187041436573</t>
  </si>
  <si>
    <t>882947311345</t>
  </si>
  <si>
    <t>432477734359</t>
  </si>
  <si>
    <t>576574461642</t>
  </si>
  <si>
    <t>838457851318</t>
  </si>
  <si>
    <t>146925796384</t>
  </si>
  <si>
    <t>289511394319</t>
  </si>
  <si>
    <t>365191852411</t>
  </si>
  <si>
    <t>299532331706</t>
  </si>
  <si>
    <t>141858147978</t>
  </si>
  <si>
    <t>190405194320</t>
  </si>
  <si>
    <t>371399972651</t>
  </si>
  <si>
    <t>266843982982</t>
  </si>
  <si>
    <t>151640678637</t>
  </si>
  <si>
    <t>159208754012</t>
  </si>
  <si>
    <t>164084424953</t>
  </si>
  <si>
    <t>351327153345</t>
  </si>
  <si>
    <t>281948544655</t>
  </si>
  <si>
    <t>684587911769</t>
  </si>
  <si>
    <t>184002441874</t>
  </si>
  <si>
    <t>577748280139</t>
  </si>
  <si>
    <t>628697450717</t>
  </si>
  <si>
    <t>432871666040</t>
  </si>
  <si>
    <t>795116950209</t>
  </si>
  <si>
    <t>132143625960</t>
  </si>
  <si>
    <t>121862766944</t>
  </si>
  <si>
    <t>67158760334</t>
  </si>
  <si>
    <t>168979397638</t>
  </si>
  <si>
    <t>127235228889</t>
  </si>
  <si>
    <t>254715151994</t>
  </si>
  <si>
    <t>189994782173</t>
  </si>
  <si>
    <t>834538274634</t>
  </si>
  <si>
    <t>871143960020</t>
  </si>
  <si>
    <t>131644391771</t>
  </si>
  <si>
    <t>285161569369</t>
  </si>
  <si>
    <t>554888183632</t>
  </si>
  <si>
    <t>440531660613</t>
  </si>
  <si>
    <t>560438715847</t>
  </si>
  <si>
    <t>627387718593</t>
  </si>
  <si>
    <t>114998821673</t>
  </si>
  <si>
    <t>375179371739</t>
  </si>
  <si>
    <t>771199355309</t>
  </si>
  <si>
    <t>111905245575</t>
  </si>
  <si>
    <t>281503745265</t>
  </si>
  <si>
    <t>421788201865</t>
  </si>
  <si>
    <t>131973158373</t>
  </si>
  <si>
    <t>110117953073</t>
  </si>
  <si>
    <t>870819433079</t>
  </si>
  <si>
    <t>523995442346</t>
  </si>
  <si>
    <t>331893869610</t>
  </si>
  <si>
    <t>424374711931</t>
  </si>
  <si>
    <t>195448468630</t>
  </si>
  <si>
    <t>622507328326</t>
  </si>
  <si>
    <t>440349423418</t>
  </si>
  <si>
    <t>422826851485</t>
  </si>
  <si>
    <t>550242945680</t>
  </si>
  <si>
    <t>684130562488</t>
  </si>
  <si>
    <t>322707723999</t>
  </si>
  <si>
    <t>579916257729</t>
  </si>
  <si>
    <t>561564649454</t>
  </si>
  <si>
    <t>158112962487</t>
  </si>
  <si>
    <t>140564902439</t>
  </si>
  <si>
    <t>192138451468</t>
  </si>
  <si>
    <t>859260793511</t>
  </si>
  <si>
    <t>833638397970</t>
  </si>
  <si>
    <t>256785811190</t>
  </si>
  <si>
    <t>514361163490</t>
  </si>
  <si>
    <t>689482810186</t>
  </si>
  <si>
    <t>469425482431</t>
  </si>
  <si>
    <t>599017591143</t>
  </si>
  <si>
    <t>161603999459</t>
  </si>
  <si>
    <t>199310336411</t>
  </si>
  <si>
    <t>831690608786</t>
  </si>
  <si>
    <t>127942818658</t>
  </si>
  <si>
    <t>120632364042</t>
  </si>
  <si>
    <t xml:space="preserve">794726763693
</t>
  </si>
  <si>
    <t>450628867028</t>
  </si>
  <si>
    <t>779348947851</t>
  </si>
  <si>
    <t>577001903641</t>
  </si>
  <si>
    <t>420234202972</t>
  </si>
  <si>
    <t>460287573934</t>
  </si>
  <si>
    <t>139172944676</t>
  </si>
  <si>
    <t>521695698918</t>
  </si>
  <si>
    <t>447552241447</t>
  </si>
  <si>
    <t>380162855399</t>
  </si>
  <si>
    <t>268962437492</t>
  </si>
  <si>
    <t>664201163986</t>
  </si>
  <si>
    <t>630418924639</t>
  </si>
  <si>
    <t>680346612924</t>
  </si>
  <si>
    <t>292067626717</t>
  </si>
  <si>
    <t>858696124019</t>
  </si>
  <si>
    <t>427097481108</t>
  </si>
  <si>
    <t>849190356255</t>
  </si>
  <si>
    <t>412580635071</t>
  </si>
  <si>
    <t>194499929286</t>
  </si>
  <si>
    <t>313414826860</t>
  </si>
  <si>
    <t>425165864751</t>
  </si>
  <si>
    <t>320467267132</t>
  </si>
  <si>
    <t>288393668567</t>
  </si>
  <si>
    <t>157790550170</t>
  </si>
  <si>
    <t>265170127505</t>
  </si>
  <si>
    <t>648197126492</t>
  </si>
  <si>
    <t>434374553954</t>
  </si>
  <si>
    <t>750703801367</t>
  </si>
  <si>
    <t>867127254339</t>
  </si>
  <si>
    <t>728875580444</t>
  </si>
  <si>
    <t>868983525185</t>
  </si>
  <si>
    <t>171026680796</t>
  </si>
  <si>
    <t>110431145503</t>
  </si>
  <si>
    <t>289065548687</t>
  </si>
  <si>
    <t>110820653977</t>
  </si>
  <si>
    <t>591624215546</t>
  </si>
  <si>
    <t>177939379279</t>
  </si>
  <si>
    <t>2526-00229420161</t>
  </si>
  <si>
    <t>Sher-A-Bangla Rent-A-Car</t>
  </si>
  <si>
    <t>Shakil Enterprise(Khulna)</t>
  </si>
  <si>
    <t>Bhoyrob Rent-A-Car</t>
  </si>
  <si>
    <t>Sher-A-Bangla Rent-A-Car(2)</t>
  </si>
  <si>
    <t>MIZAN RENT A CAR</t>
  </si>
  <si>
    <t>M/S S. Alam Rent-A-Car</t>
  </si>
  <si>
    <t>Nishat Rent-A-Car.C/O Mr.Raju</t>
  </si>
  <si>
    <t>Global International</t>
  </si>
  <si>
    <t>New Sefat Restaurant</t>
  </si>
  <si>
    <t>AHM TRADE CO.</t>
  </si>
  <si>
    <t>Rafi Hotel and Restaurant</t>
  </si>
  <si>
    <t>M/S. F.K. Paribahan</t>
  </si>
  <si>
    <t>Mr. Md. Alamgir</t>
  </si>
  <si>
    <t>Sariful Rent-A-Car</t>
  </si>
  <si>
    <t>Sakim Enterprise</t>
  </si>
  <si>
    <t>M/S MA ENTERPRISE-707</t>
  </si>
  <si>
    <t>M/S  BANDHU RENT-A-CAR-707</t>
  </si>
  <si>
    <t>Boishaki Hotel</t>
  </si>
  <si>
    <t>Dulal Rent-A-Car-709</t>
  </si>
  <si>
    <t>HASAN RENTALS709</t>
  </si>
  <si>
    <t>Nur Motors &amp;amp; Rent-A-Car</t>
  </si>
  <si>
    <t>Nabiha and Nafiz Paribahan</t>
  </si>
  <si>
    <t>M.M.S Enterprise(Surma Depot)</t>
  </si>
  <si>
    <t xml:space="preserve">Kamal Toyota Automobile &amp;amp </t>
  </si>
  <si>
    <t>Faruk Rent A Car (Sylhet-Surma Depot)</t>
  </si>
  <si>
    <t>Mrs.Nasima Begum(Rent A Car)</t>
  </si>
  <si>
    <t>Md.Shahin Miah (Rent-A-Car)</t>
  </si>
  <si>
    <t>Mr.Abdur Razzak(Rent-A Car Supplier)</t>
  </si>
  <si>
    <t>Mr. Md. Kudrat Ali (Rent A Car Supplier)</t>
  </si>
  <si>
    <t>Kamal Rent - A Car</t>
  </si>
  <si>
    <t>Sadia Motors &amp;amp; Rent-A-Car</t>
  </si>
  <si>
    <t>ASHA ENTERPRISE (703)</t>
  </si>
  <si>
    <t>AYAT MANHA (RENT A CAR) (703)</t>
  </si>
  <si>
    <t>MR. RAJIB TALUKDER "HIRED VAN DRIVER"</t>
  </si>
  <si>
    <t xml:space="preserve">Shihab Rent A Car </t>
  </si>
  <si>
    <t>Ashim Rent A Car</t>
  </si>
  <si>
    <t>Suman Enterprise</t>
  </si>
  <si>
    <t>Mizan Enterprise</t>
  </si>
  <si>
    <t>BENGAL ENTERPRISE (703)</t>
  </si>
  <si>
    <t>BD. Lift Ltd (Feni)</t>
  </si>
  <si>
    <t>M/S Arafat Corporation</t>
  </si>
  <si>
    <t>JALAL RENT-A-CAR(FENI DEPOT)</t>
  </si>
  <si>
    <t>SAIFUL  RENT-A-CAR(FENI DEPOT)</t>
  </si>
  <si>
    <t>CAFE AL SAHIN RESTORA</t>
  </si>
  <si>
    <t>BIJOY TRANSPORT AND VARITIES STORE</t>
  </si>
  <si>
    <t>MASTER CHEF CHINESE RESTAURANT-711</t>
  </si>
  <si>
    <t>Shakib Rakib Rent A Car</t>
  </si>
  <si>
    <t>Mridha Cargo Service</t>
  </si>
  <si>
    <t>Khan Enterprise</t>
  </si>
  <si>
    <t>Masum Rent A Car(Rajshahi Depot)</t>
  </si>
  <si>
    <t>SARA CAVARD VAN-711</t>
  </si>
  <si>
    <t>RONY TRADERS-711</t>
  </si>
  <si>
    <t>MANOB SEBA RENT -A-CAR (MD.ZAKARIA TALUKDER)</t>
  </si>
  <si>
    <t>Bhai Bon Paribahan</t>
  </si>
  <si>
    <t>SARA ENTERPRISE</t>
  </si>
  <si>
    <t>SOHEL TRANSPORT (KOROTOA DEPOT)</t>
  </si>
  <si>
    <t>SADEK ENTERPRISE (KOROTOA DEPOT)-708</t>
  </si>
  <si>
    <t>SAJJAD ENTERPRISE-708</t>
  </si>
  <si>
    <t>Sakil Hotel &amp; Restrurent-722</t>
  </si>
  <si>
    <t>M/S. R R TRANSPORT &amp; MOTOR PARTS-722</t>
  </si>
  <si>
    <t>M/S. Khaja Motors</t>
  </si>
  <si>
    <t>DIDER ENTERPRIZE</t>
  </si>
  <si>
    <t>MAINUDDIN ENTERPRIZE</t>
  </si>
  <si>
    <t>M/S. Salim Brothers</t>
  </si>
  <si>
    <t>Masud Rana (Hired Van Owner)</t>
  </si>
  <si>
    <t>Mr. Md. Mehdi Hasan (Hired Van Owner)</t>
  </si>
  <si>
    <t>Khondoker Ali Kabir (Hired Van Owner)</t>
  </si>
  <si>
    <t>Mr. MD.BULBUL AHMED(Hired Van)</t>
  </si>
  <si>
    <t>SANJIDA ENTERPRISE (ABUL KALAM NOKTE)</t>
  </si>
  <si>
    <t>Aolad Hosen(Rent-A-Car)</t>
  </si>
  <si>
    <t>MARIAM TRADERS-717</t>
  </si>
  <si>
    <t>Malancha Restaurant</t>
  </si>
  <si>
    <t>Jalal Rent-A Car</t>
  </si>
  <si>
    <t>Yakub rent-a Car(Mr.Yakub Ali)</t>
  </si>
  <si>
    <t>Saiful Islam Rent A Car</t>
  </si>
  <si>
    <t>Sameha Rent-A-Car</t>
  </si>
  <si>
    <t>Hasneara Rent-A-Car</t>
  </si>
  <si>
    <t>ABUL HASEM RENT A CAR(705)</t>
  </si>
  <si>
    <t>BISMILLAH RENT A CAR(705)</t>
  </si>
  <si>
    <t>KHALIL RENT A CAR(705)</t>
  </si>
  <si>
    <t>MD.MOSTUFA KAMAL ENTERPRISE(705)</t>
  </si>
  <si>
    <t>M/S KAMAL RENT A CAR(705)</t>
  </si>
  <si>
    <t>Manik Enterprise (Mr.Manik Miah)</t>
  </si>
  <si>
    <t>MD. SHAIDUL ISLAM RENT A CAR(705)</t>
  </si>
  <si>
    <t>AMAN ULLAH RENT A-CAR</t>
  </si>
  <si>
    <t>Gazi Enterprise(Mr.Sabuj Gazi)</t>
  </si>
  <si>
    <t>Aziz Rent-A Car C/O Md.Kazi Abdul Aziz</t>
  </si>
  <si>
    <t>M/S . Fakrul Kabir Bulbul</t>
  </si>
  <si>
    <t>Aklash Arafat Interprice</t>
  </si>
  <si>
    <t>Mokim Pramanik Rent-A- Car (Hired Van)</t>
  </si>
  <si>
    <t>REZWAN ENTERPRISE</t>
  </si>
  <si>
    <t>YOUNUS RENT-A-CAR</t>
  </si>
  <si>
    <t>HABIBA TRAVELS</t>
  </si>
  <si>
    <t>MD.EDRIS ALI(HIRED VAN WONER)</t>
  </si>
  <si>
    <t>Mrs. Shamsunnahar Haque Doly (Hired Van Owner)</t>
  </si>
  <si>
    <t>M/S. MOHASHIN MOTORS &amp; WORKSHOP</t>
  </si>
  <si>
    <t>REZAUL KHAN(Rent-A-Car)</t>
  </si>
  <si>
    <t>M/S ALIF &amp; BROTHERS-717</t>
  </si>
  <si>
    <t>GENERAL ELEVATOR CORPORATION BANGLADESH (KOROTOA DEPOT)</t>
  </si>
  <si>
    <t xml:space="preserve">Suruj Rent-A-Car </t>
  </si>
  <si>
    <t>AL-ARAFHA RESTORA-707</t>
  </si>
  <si>
    <t>Mr. Yunuch Ali Travel</t>
  </si>
  <si>
    <t>Auto Solution Khulna-719</t>
  </si>
  <si>
    <t>Mr. Md. Habibur Rahman Bhuyan(House Owner)</t>
  </si>
  <si>
    <t>Falo Rent-A Car C/O Mr.Osman Goni</t>
  </si>
  <si>
    <t>Srabon Rent-A-Car (Md. Uzzal)</t>
  </si>
  <si>
    <t>MUGDHA RENT-A-CAR</t>
  </si>
  <si>
    <t>M/S. Baijet Rent A-Car</t>
  </si>
  <si>
    <t>M/S Shanti Trading (716)</t>
  </si>
  <si>
    <t xml:space="preserve">Athay-Tafid rent a car </t>
  </si>
  <si>
    <t>RS ENTERPRISE  MADHUMATI DEPOT</t>
  </si>
  <si>
    <t>BHAI BHAI TRANSPORT AGENCY</t>
  </si>
  <si>
    <t>SPANDAN TRAINING FACILITATION CENTER</t>
  </si>
  <si>
    <t>MD.SHAFIUL ALAM (HIRED VAN OWNER)</t>
  </si>
  <si>
    <t>MD.MORAD SHEKH(Hired van Owner)</t>
  </si>
  <si>
    <t>Akman Bhuiyan(Hired Van Owner)</t>
  </si>
  <si>
    <t>Mr.Md.Abdur Rasid ( Haired Van Woner)</t>
  </si>
  <si>
    <t>M/S. R.S. ENTERPRISE(720)</t>
  </si>
  <si>
    <t>M/S DILSHAD MISTANNO VANDAR</t>
  </si>
  <si>
    <t>M/S VAI VABI HOTEL-718</t>
  </si>
  <si>
    <t>ABRAR ANHA PARIBAHAN-717</t>
  </si>
  <si>
    <t>Abdullah Transport (701)</t>
  </si>
  <si>
    <t>M/S. Mohsin Motors Workshop</t>
  </si>
  <si>
    <t>CHALLOK TRANSPORT (701)</t>
  </si>
  <si>
    <t>F.F.TRANSPORT</t>
  </si>
  <si>
    <t>Md. Shahin (Hired van rent)</t>
  </si>
  <si>
    <t>Upol Motor's(Brahmaputra Depot)</t>
  </si>
  <si>
    <t>Abul Basar Rent A Car(Burigonga Depot)</t>
  </si>
  <si>
    <t>Ta-Sheen Motors(Burigonga Depot)</t>
  </si>
  <si>
    <t>Rekha Rent A Car(Burigonga Depot)</t>
  </si>
  <si>
    <t>Pavel Rent-A Car(Burigonga Depot)</t>
  </si>
  <si>
    <t>Abdus Salam Rent A Car(Burigonga Depot)</t>
  </si>
  <si>
    <t>Faruk Rent A Car(Burigonga Depot)</t>
  </si>
  <si>
    <t>Tarek Decorator(719)</t>
  </si>
  <si>
    <t>BABUR RESTAURANT-710</t>
  </si>
  <si>
    <t>DIPU MOTORS</t>
  </si>
  <si>
    <t>M/S. FAST TRUCK LOGISTICS(720)</t>
  </si>
  <si>
    <t>M I TRANSPORT-721</t>
  </si>
  <si>
    <t>M/S Amir Rent-A -Car (Resma Panjabi House)</t>
  </si>
  <si>
    <t>Mosharof Enterprise-719</t>
  </si>
  <si>
    <t>M/S. SHAROTHI TRANSPORT AGENCY</t>
  </si>
  <si>
    <t>Romana Begum(Advocate)</t>
  </si>
  <si>
    <t>BURO TRAINING CENTER-722</t>
  </si>
  <si>
    <t>Ma Babar Doya Rent-A Car-722</t>
  </si>
  <si>
    <t>M/S Urbi Rant-A-Car</t>
  </si>
  <si>
    <t>M/S Rose Rent a Car</t>
  </si>
  <si>
    <t>M/S Dui Vai Traders</t>
  </si>
  <si>
    <t>M/S. KHADIZA ENTERPRISE</t>
  </si>
  <si>
    <t>JAHANGIR RENT-A CAR</t>
  </si>
  <si>
    <t>M/S JERIN RENT A CAR</t>
  </si>
  <si>
    <t>SULTAN RENT-A CAR</t>
  </si>
  <si>
    <t xml:space="preserve">Zannat Rent-A-Car </t>
  </si>
  <si>
    <t xml:space="preserve">Mahim Enterprise </t>
  </si>
  <si>
    <t xml:space="preserve">Ma Fatema Rent A Car </t>
  </si>
  <si>
    <t>SULTAN RENT-A CAR-702</t>
  </si>
  <si>
    <t xml:space="preserve">Royer Rent-A-Car </t>
  </si>
  <si>
    <t xml:space="preserve">Aseque Treaders </t>
  </si>
  <si>
    <t xml:space="preserve">Sadaf Paribahan </t>
  </si>
  <si>
    <t>SHUMON ENTERPRISE (703)</t>
  </si>
  <si>
    <t>887966783530</t>
  </si>
  <si>
    <t>117932696744</t>
  </si>
  <si>
    <t>770838331837</t>
  </si>
  <si>
    <t>111052598779</t>
  </si>
  <si>
    <t>133698970732</t>
  </si>
  <si>
    <t>542237116330</t>
  </si>
  <si>
    <t>731178354598</t>
  </si>
  <si>
    <t>139162515530</t>
  </si>
  <si>
    <t>338299397398</t>
  </si>
  <si>
    <t>461063177241</t>
  </si>
  <si>
    <t>190168321327</t>
  </si>
  <si>
    <t>284542824366</t>
  </si>
  <si>
    <t>676467611925</t>
  </si>
  <si>
    <t>'122240384687</t>
  </si>
  <si>
    <t>523889630842</t>
  </si>
  <si>
    <t>183430150544</t>
  </si>
  <si>
    <t>668591759282</t>
  </si>
  <si>
    <t>678596209562</t>
  </si>
  <si>
    <t>447899638095</t>
  </si>
  <si>
    <t>342553750468</t>
  </si>
  <si>
    <t>123274477657</t>
  </si>
  <si>
    <t>656185247605</t>
  </si>
  <si>
    <t>889031628172</t>
  </si>
  <si>
    <t>263902637706</t>
  </si>
  <si>
    <t>551600307184</t>
  </si>
  <si>
    <t>142474270757</t>
  </si>
  <si>
    <t>394622555699</t>
  </si>
  <si>
    <t>243129163955</t>
  </si>
  <si>
    <t>551704674609</t>
  </si>
  <si>
    <t>851805169451</t>
  </si>
  <si>
    <t>617029506616</t>
  </si>
  <si>
    <t>836312607886</t>
  </si>
  <si>
    <t>869821303218</t>
  </si>
  <si>
    <t>490335696388</t>
  </si>
  <si>
    <t>654403922758</t>
  </si>
  <si>
    <t>210449600374</t>
  </si>
  <si>
    <t>258666680231</t>
  </si>
  <si>
    <t>137181272133</t>
  </si>
  <si>
    <t>'450406164623</t>
  </si>
  <si>
    <t>243714405911</t>
  </si>
  <si>
    <t>144726994447</t>
  </si>
  <si>
    <t>543081374306</t>
  </si>
  <si>
    <t>211615503408</t>
  </si>
  <si>
    <t>466486224113</t>
  </si>
  <si>
    <t>519471243356</t>
  </si>
  <si>
    <t>849594992258</t>
  </si>
  <si>
    <t>659148697497</t>
  </si>
  <si>
    <t>553003663701</t>
  </si>
  <si>
    <t>827679690632</t>
  </si>
  <si>
    <t>346424589926</t>
  </si>
  <si>
    <t>684959998565</t>
  </si>
  <si>
    <t>332848111063</t>
  </si>
  <si>
    <t>510245552560</t>
  </si>
  <si>
    <t>376404490431</t>
  </si>
  <si>
    <t>697877530304</t>
  </si>
  <si>
    <t>773443937591</t>
  </si>
  <si>
    <t>139637722674</t>
  </si>
  <si>
    <t>599499238460</t>
  </si>
  <si>
    <t>131497384751</t>
  </si>
  <si>
    <t>780252529432</t>
  </si>
  <si>
    <t>866166994886</t>
  </si>
  <si>
    <t>298030764192</t>
  </si>
  <si>
    <t>422263174388</t>
  </si>
  <si>
    <t>674754361878</t>
  </si>
  <si>
    <t>472304438169</t>
  </si>
  <si>
    <t>779943691522</t>
  </si>
  <si>
    <t>652173171357</t>
  </si>
  <si>
    <t>572914313772</t>
  </si>
  <si>
    <t>839434494936</t>
  </si>
  <si>
    <t>283264387461</t>
  </si>
  <si>
    <t>723125702376</t>
  </si>
  <si>
    <t>795388565828</t>
  </si>
  <si>
    <t>171371968392</t>
  </si>
  <si>
    <t>833817197351</t>
  </si>
  <si>
    <t>242928375518</t>
  </si>
  <si>
    <t>135182298737</t>
  </si>
  <si>
    <t>174109302167</t>
  </si>
  <si>
    <t>434563760468</t>
  </si>
  <si>
    <t>422697512437</t>
  </si>
  <si>
    <t>780901944269</t>
  </si>
  <si>
    <t>372012108984</t>
  </si>
  <si>
    <t>166758108172</t>
  </si>
  <si>
    <t>892076265382</t>
  </si>
  <si>
    <t>838895544553</t>
  </si>
  <si>
    <t>120078514216</t>
  </si>
  <si>
    <t>824377323675</t>
  </si>
  <si>
    <t>143834187731</t>
  </si>
  <si>
    <t>752506894148</t>
  </si>
  <si>
    <t>137017363529</t>
  </si>
  <si>
    <t>120177535690</t>
  </si>
  <si>
    <t>465782123673</t>
  </si>
  <si>
    <t>158745109233</t>
  </si>
  <si>
    <t>512251290552</t>
  </si>
  <si>
    <t>726670308302</t>
  </si>
  <si>
    <t>398879699663</t>
  </si>
  <si>
    <t>845357354275</t>
  </si>
  <si>
    <t>327301794721</t>
  </si>
  <si>
    <t>197528237610</t>
  </si>
  <si>
    <t>861173502145</t>
  </si>
  <si>
    <t>519518161501</t>
  </si>
  <si>
    <t>761499194416</t>
  </si>
  <si>
    <t>395954964857</t>
  </si>
  <si>
    <t>583477434894</t>
  </si>
  <si>
    <t>147291764227</t>
  </si>
  <si>
    <t>112693933337</t>
  </si>
  <si>
    <t>499066853294</t>
  </si>
  <si>
    <t>272985128954</t>
  </si>
  <si>
    <t>881760975905</t>
  </si>
  <si>
    <t>333519417513</t>
  </si>
  <si>
    <t>744036430117</t>
  </si>
  <si>
    <t>672037860640</t>
  </si>
  <si>
    <t>888019448307</t>
  </si>
  <si>
    <t>467360750091</t>
  </si>
  <si>
    <t>415845741676</t>
  </si>
  <si>
    <t>827717549710</t>
  </si>
  <si>
    <t>591864354659</t>
  </si>
  <si>
    <t>798714346831</t>
  </si>
  <si>
    <t>2526-00229542711</t>
  </si>
  <si>
    <t>2526-00229530621</t>
  </si>
  <si>
    <t>Md.Liaquat Ali Khan (Land Lord)</t>
  </si>
  <si>
    <t>Md. Zahedur Rahman (House Owners)</t>
  </si>
  <si>
    <t>Mr.Rakibul Islam(Landlord)</t>
  </si>
  <si>
    <t>Md. Mahfuzur Rahman (Landlord)-716</t>
  </si>
  <si>
    <t>Md.Mohsin Reza(Land lord)</t>
  </si>
  <si>
    <t>Md.Mosharrof Hossain(Bhairab depot Rent)</t>
  </si>
  <si>
    <t>Mohammed Mohibur Rahman</t>
  </si>
  <si>
    <t>Grand Riverview Hotel</t>
  </si>
  <si>
    <t>Rdrs Guest House</t>
  </si>
  <si>
    <t>21 Medicine &amp; Surgical Market</t>
  </si>
  <si>
    <t>Mohammad Nurul Hoque (Noakhali Depot Rent)</t>
  </si>
  <si>
    <t>Mr. Fazlul Karim Siddique</t>
  </si>
  <si>
    <t>MD.SAMSUL HAQUE(LANDLORD)</t>
  </si>
  <si>
    <t>Mr Zakir Hossain</t>
  </si>
  <si>
    <t>MD. AMINUL ISLAM- House Rent (Regional Sales Office Pabna)</t>
  </si>
  <si>
    <t>MR. MD. MIZANUR RAHMAN(House Owner)</t>
  </si>
  <si>
    <t>MD. RUHUL AMIN-Kushtia Depot-Land Owner</t>
  </si>
  <si>
    <t>MD. NOOR ISLAM- Jashore Depot-Rent</t>
  </si>
  <si>
    <t>TONMOY SAHA,OWNER NARAYANGONJ OFFICE(BURIGONGA DEPOT)</t>
  </si>
  <si>
    <t>MR. SYED NASIR BIN AMIN</t>
  </si>
  <si>
    <t>Mr. Sarder Al-Mamun (Land Owner)</t>
  </si>
  <si>
    <t>MOMO INN LTD.</t>
  </si>
  <si>
    <t>Sumaiya Tahsin(House Owner)</t>
  </si>
  <si>
    <t>TAHSIN UDDIN AHMED ( LAND LORD )</t>
  </si>
  <si>
    <t>Mrs. Latifunnesa</t>
  </si>
  <si>
    <t>Md.Faridul Alam</t>
  </si>
  <si>
    <t>SENA HOTEL DEVELOPMENTS LTD-CHATTOGRAM</t>
  </si>
  <si>
    <t>Hotel Grand Park Barishal</t>
  </si>
  <si>
    <t>MOZAFFAR GARDEN AND RESORT-707</t>
  </si>
  <si>
    <t>Buro Bangladesh-713</t>
  </si>
  <si>
    <t>359654810228</t>
  </si>
  <si>
    <t>232230338618</t>
  </si>
  <si>
    <t>320862237756</t>
  </si>
  <si>
    <t>417087349888</t>
  </si>
  <si>
    <t>368487548742</t>
  </si>
  <si>
    <t>814272286820</t>
  </si>
  <si>
    <t>349038395697</t>
  </si>
  <si>
    <t>571695180311</t>
  </si>
  <si>
    <t>379400875073</t>
  </si>
  <si>
    <t>736002957517</t>
  </si>
  <si>
    <t>191031312246</t>
  </si>
  <si>
    <t>120347355258</t>
  </si>
  <si>
    <t>254695359273</t>
  </si>
  <si>
    <t>530874190238</t>
  </si>
  <si>
    <t>536476282335</t>
  </si>
  <si>
    <t>365444423570</t>
  </si>
  <si>
    <t>546690996485</t>
  </si>
  <si>
    <t>265798393896</t>
  </si>
  <si>
    <t>343708982596</t>
  </si>
  <si>
    <t>650956489957</t>
  </si>
  <si>
    <t>261308267797</t>
  </si>
  <si>
    <t>254295131807</t>
  </si>
  <si>
    <t>815546808253</t>
  </si>
  <si>
    <t>287375911315</t>
  </si>
  <si>
    <t>128822370503</t>
  </si>
  <si>
    <t>2526-00229596841</t>
  </si>
  <si>
    <t>THE GRAND PLACID</t>
  </si>
  <si>
    <t>685473130695</t>
  </si>
  <si>
    <t>2526-00229634101</t>
  </si>
  <si>
    <t>Remarks</t>
  </si>
  <si>
    <t>Car rent</t>
  </si>
  <si>
    <t>2526-00344452851</t>
  </si>
  <si>
    <t>January'26</t>
  </si>
  <si>
    <t>Depot Code</t>
  </si>
  <si>
    <t>Bank Name</t>
  </si>
  <si>
    <t>Email</t>
  </si>
  <si>
    <t>WhatsApp No.</t>
  </si>
  <si>
    <t>abc@rtl.com.bd</t>
  </si>
  <si>
    <t>Description of Payment</t>
  </si>
  <si>
    <t>Supplier Address</t>
  </si>
  <si>
    <t>Kazi Nazrul Islam Sarak, Kawranbazar, Dhaka-1000</t>
  </si>
  <si>
    <t>Sonali Bank PLC</t>
  </si>
  <si>
    <t>D-101</t>
  </si>
  <si>
    <t>TDS Payment</t>
  </si>
  <si>
    <t>Base Amount</t>
  </si>
  <si>
    <t>TDS Rate</t>
  </si>
  <si>
    <t>M/S. XY company Ltd.</t>
  </si>
  <si>
    <t>MM/DD/YYYY</t>
  </si>
  <si>
    <t>e.g.137017363529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</si>
</sst>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dd\-mm\-yyyy;@"/>
    <numFmt numFmtId="166" formatCode="dd\-mm\-yy;@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rgb="FFCCCCCC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5" fillId="0" borderId="0" applyNumberFormat="0" applyFill="0" applyBorder="0" applyAlignment="0" applyProtection="0"/>
  </cellStyleXfs>
  <cellXfs count="57">
    <xf numFmtId="0" fontId="0" fillId="0" borderId="0" xfId="0"/>
    <xf numFmtId="164" fontId="0" fillId="0" borderId="0" xfId="1" applyNumberFormat="1" applyFont="1"/>
    <xf numFmtId="43" fontId="0" fillId="0" borderId="0" xfId="1" applyFont="1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2" fillId="2" borderId="1" xfId="1" applyNumberFormat="1" applyFont="1" applyFill="1" applyBorder="1" applyAlignment="1">
      <alignment horizontal="center" vertical="center" wrapText="1"/>
    </xf>
    <xf numFmtId="164" fontId="0" fillId="0" borderId="0" xfId="1" applyNumberFormat="1" applyFont="1" applyFill="1"/>
    <xf numFmtId="0" fontId="0" fillId="0" borderId="0" xfId="1" applyNumberFormat="1" applyFont="1" applyAlignment="1">
      <alignment horizontal="center"/>
    </xf>
    <xf numFmtId="164" fontId="0" fillId="0" borderId="0" xfId="1" applyNumberFormat="1" applyFont="1" applyAlignment="1">
      <alignment horizontal="center"/>
    </xf>
    <xf numFmtId="0" fontId="0" fillId="0" borderId="0" xfId="1" applyNumberFormat="1" applyFont="1" applyFill="1" applyAlignment="1">
      <alignment horizontal="center"/>
    </xf>
    <xf numFmtId="0" fontId="0" fillId="3" borderId="0" xfId="0" applyFill="1"/>
    <xf numFmtId="164" fontId="0" fillId="3" borderId="0" xfId="1" applyNumberFormat="1" applyFont="1" applyFill="1"/>
    <xf numFmtId="0" fontId="0" fillId="3" borderId="0" xfId="0" applyFill="1" applyAlignment="1">
      <alignment horizontal="center"/>
    </xf>
    <xf numFmtId="0" fontId="0" fillId="0" borderId="2" xfId="2" applyNumberFormat="1" applyFont="1" applyFill="1" applyBorder="1" applyAlignment="1">
      <alignment horizontal="left" vertical="center"/>
    </xf>
    <xf numFmtId="164" fontId="0" fillId="4" borderId="0" xfId="1" applyNumberFormat="1" applyFont="1" applyFill="1"/>
    <xf numFmtId="0" fontId="0" fillId="0" borderId="0" xfId="0" applyAlignment="1">
      <alignment horizontal="right"/>
    </xf>
    <xf numFmtId="1" fontId="0" fillId="0" borderId="0" xfId="0" applyNumberFormat="1" applyAlignment="1">
      <alignment horizontal="right"/>
    </xf>
    <xf numFmtId="0" fontId="0" fillId="4" borderId="0" xfId="0" applyFill="1"/>
    <xf numFmtId="1" fontId="0" fillId="4" borderId="0" xfId="0" applyNumberFormat="1" applyFill="1" applyAlignment="1">
      <alignment horizontal="right"/>
    </xf>
    <xf numFmtId="165" fontId="0" fillId="0" borderId="0" xfId="0" applyNumberFormat="1"/>
    <xf numFmtId="165" fontId="0" fillId="3" borderId="0" xfId="0" applyNumberFormat="1" applyFill="1"/>
    <xf numFmtId="43" fontId="0" fillId="0" borderId="0" xfId="1" applyFont="1" applyFill="1"/>
    <xf numFmtId="0" fontId="0" fillId="3" borderId="0" xfId="0" applyFill="1" applyAlignment="1">
      <alignment horizontal="right"/>
    </xf>
    <xf numFmtId="43" fontId="0" fillId="3" borderId="0" xfId="1" applyFont="1" applyFill="1"/>
    <xf numFmtId="165" fontId="2" fillId="2" borderId="1" xfId="0" applyNumberFormat="1" applyFont="1" applyFill="1" applyBorder="1" applyAlignment="1">
      <alignment horizontal="center" vertical="center" wrapText="1"/>
    </xf>
    <xf numFmtId="164" fontId="0" fillId="0" borderId="0" xfId="1" applyNumberFormat="1" applyFont="1" applyFill="1" applyAlignment="1">
      <alignment horizontal="center"/>
    </xf>
    <xf numFmtId="1" fontId="0" fillId="0" borderId="0" xfId="1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0" fontId="3" fillId="0" borderId="0" xfId="0" applyFont="1"/>
    <xf numFmtId="0" fontId="4" fillId="2" borderId="0" xfId="0" applyFont="1" applyFill="1" applyAlignment="1">
      <alignment horizontal="center" vertical="center"/>
    </xf>
    <xf numFmtId="1" fontId="0" fillId="3" borderId="0" xfId="1" applyNumberFormat="1" applyFont="1" applyFill="1" applyAlignment="1">
      <alignment horizontal="center"/>
    </xf>
    <xf numFmtId="1" fontId="0" fillId="3" borderId="0" xfId="0" applyNumberFormat="1" applyFill="1" applyAlignment="1">
      <alignment horizontal="right"/>
    </xf>
    <xf numFmtId="165" fontId="0" fillId="4" borderId="0" xfId="0" applyNumberFormat="1" applyFill="1"/>
    <xf numFmtId="0" fontId="0" fillId="4" borderId="0" xfId="0" applyFill="1" applyAlignment="1">
      <alignment horizontal="center"/>
    </xf>
    <xf numFmtId="43" fontId="0" fillId="4" borderId="0" xfId="1" applyFont="1" applyFill="1"/>
    <xf numFmtId="0" fontId="0" fillId="0" borderId="0" xfId="2" applyNumberFormat="1" applyFont="1" applyFill="1" applyBorder="1" applyAlignment="1">
      <alignment horizontal="left" vertical="center"/>
    </xf>
    <xf numFmtId="166" fontId="0" fillId="0" borderId="0" xfId="0" applyNumberFormat="1"/>
    <xf numFmtId="1" fontId="0" fillId="0" borderId="0" xfId="1" applyNumberFormat="1" applyFont="1" applyAlignment="1">
      <alignment horizontal="left"/>
    </xf>
    <xf numFmtId="1" fontId="0" fillId="0" borderId="0" xfId="0" applyNumberFormat="1" applyAlignment="1">
      <alignment horizontal="left"/>
    </xf>
    <xf numFmtId="1" fontId="0" fillId="0" borderId="0" xfId="1" applyNumberFormat="1" applyFont="1" applyFill="1" applyAlignment="1">
      <alignment horizontal="left"/>
    </xf>
    <xf numFmtId="1" fontId="0" fillId="0" borderId="0" xfId="0" applyNumberFormat="1"/>
    <xf numFmtId="0" fontId="5" fillId="0" borderId="0" xfId="3"/>
    <xf numFmtId="9" fontId="0" fillId="0" borderId="0" xfId="0" applyNumberFormat="1"/>
    <xf numFmtId="0" fontId="0" fillId="0" borderId="3" xfId="0" applyBorder="1" applyAlignment="1">
      <alignment horizontal="center"/>
    </xf>
    <xf numFmtId="165" fontId="0" fillId="0" borderId="2" xfId="0" applyNumberFormat="1" applyBorder="1" applyAlignment="1">
      <alignment vertical="center"/>
    </xf>
    <xf numFmtId="0" fontId="0" fillId="0" borderId="2" xfId="0" applyBorder="1" applyAlignment="1">
      <alignment vertical="center"/>
    </xf>
    <xf numFmtId="0" fontId="0" fillId="0" borderId="2" xfId="0" applyBorder="1" applyAlignment="1">
      <alignment wrapText="1"/>
    </xf>
    <xf numFmtId="1" fontId="0" fillId="0" borderId="2" xfId="0" applyNumberFormat="1" applyBorder="1"/>
    <xf numFmtId="0" fontId="5" fillId="0" borderId="2" xfId="3" applyBorder="1"/>
    <xf numFmtId="0" fontId="0" fillId="0" borderId="2" xfId="0" applyBorder="1"/>
    <xf numFmtId="164" fontId="0" fillId="0" borderId="2" xfId="1" applyNumberFormat="1" applyFont="1" applyFill="1" applyBorder="1"/>
    <xf numFmtId="9" fontId="0" fillId="0" borderId="2" xfId="0" applyNumberFormat="1" applyBorder="1"/>
    <xf numFmtId="1" fontId="0" fillId="0" borderId="2" xfId="1" applyNumberFormat="1" applyFont="1" applyFill="1" applyBorder="1" applyAlignment="1">
      <alignment horizontal="center"/>
    </xf>
    <xf numFmtId="1" fontId="0" fillId="0" borderId="2" xfId="0" applyNumberFormat="1" applyBorder="1" applyAlignment="1">
      <alignment horizontal="right"/>
    </xf>
    <xf numFmtId="0" fontId="0" fillId="0" borderId="2" xfId="0" applyBorder="1" applyAlignment="1">
      <alignment horizontal="center"/>
    </xf>
    <xf numFmtId="164" fontId="0" fillId="0" borderId="2" xfId="1" applyNumberFormat="1" applyFont="1" applyBorder="1"/>
  </cellXfs>
  <cellStyles count="4">
    <cellStyle name="Comma" xfId="1" builtinId="3"/>
    <cellStyle name="Comma 2 2" xfId="2" xr:uid="{BCF48FF6-43FF-4045-8E89-1DCEB208EA38}"/>
    <cellStyle name="Hyperlink" xfId="3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abc@rtl.com.b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C9F7EB-086E-441D-9065-B7CEF438E5EE}">
  <sheetPr codeName="Sheet2" filterMode="1"/>
  <dimension ref="A2:U3272"/>
  <sheetViews>
    <sheetView tabSelected="1" workbookViewId="0">
      <pane ySplit="3" topLeftCell="A690" activePane="bottomLeft" state="frozen"/>
      <selection pane="bottomLeft" activeCell="F696" sqref="F696"/>
    </sheetView>
  </sheetViews>
  <sheetFormatPr defaultRowHeight="14.5" x14ac:dyDescent="0.35"/>
  <cols>
    <col min="1" max="1" width="10.36328125" style="20" bestFit="1" customWidth="1"/>
    <col min="2" max="2" width="11" bestFit="1" customWidth="1"/>
    <col min="3" max="3" width="37.90625" customWidth="1"/>
    <col min="4" max="4" width="18.36328125" customWidth="1"/>
    <col min="5" max="5" width="15.81640625" customWidth="1"/>
    <col min="6" max="6" width="15.1796875" customWidth="1"/>
    <col min="7" max="7" width="8.1796875" customWidth="1"/>
    <col min="8" max="8" width="12.36328125" bestFit="1" customWidth="1"/>
    <col min="9" max="9" width="11.453125" bestFit="1" customWidth="1"/>
    <col min="13" max="13" width="17.1796875" customWidth="1"/>
    <col min="14" max="14" width="16.81640625" bestFit="1" customWidth="1"/>
    <col min="15" max="15" width="12.1796875" customWidth="1"/>
    <col min="16" max="16" width="10.1796875" customWidth="1"/>
    <col min="17" max="17" width="11.90625" customWidth="1"/>
    <col min="19" max="19" width="11.81640625" bestFit="1" customWidth="1"/>
    <col min="20" max="20" width="11.08984375" bestFit="1" customWidth="1"/>
  </cols>
  <sheetData>
    <row r="2" spans="1:21" ht="15" thickBot="1" x14ac:dyDescent="0.4">
      <c r="C2" s="44"/>
      <c r="D2" s="44"/>
      <c r="E2" s="44"/>
      <c r="F2" s="44"/>
      <c r="I2" s="1">
        <f>SUBTOTAL(9,I4:I1048576)</f>
        <v>236.84</v>
      </c>
    </row>
    <row r="3" spans="1:21" s="4" customFormat="1" ht="44" customHeight="1" thickBot="1" x14ac:dyDescent="0.4">
      <c r="A3" s="25" t="s">
        <v>0</v>
      </c>
      <c r="B3" s="5" t="s">
        <v>1</v>
      </c>
      <c r="C3" s="5" t="s">
        <v>2</v>
      </c>
      <c r="D3" s="5" t="s">
        <v>655</v>
      </c>
      <c r="E3" s="5" t="s">
        <v>652</v>
      </c>
      <c r="F3" s="5" t="s">
        <v>651</v>
      </c>
      <c r="G3" s="5" t="s">
        <v>649</v>
      </c>
      <c r="H3" s="5" t="s">
        <v>3</v>
      </c>
      <c r="I3" s="5" t="s">
        <v>4</v>
      </c>
      <c r="J3" s="6" t="s">
        <v>660</v>
      </c>
      <c r="K3" s="5" t="s">
        <v>661</v>
      </c>
      <c r="L3" s="5" t="s">
        <v>5</v>
      </c>
      <c r="M3" s="5" t="s">
        <v>6</v>
      </c>
      <c r="N3" s="5" t="s">
        <v>7</v>
      </c>
      <c r="O3" s="5" t="s">
        <v>8</v>
      </c>
      <c r="P3" s="5" t="s">
        <v>650</v>
      </c>
      <c r="Q3" s="5" t="s">
        <v>654</v>
      </c>
      <c r="R3" s="5" t="s">
        <v>17</v>
      </c>
      <c r="S3" s="5" t="s">
        <v>9</v>
      </c>
      <c r="T3" s="5" t="s">
        <v>10</v>
      </c>
      <c r="U3" s="30" t="s">
        <v>645</v>
      </c>
    </row>
    <row r="4" spans="1:21" ht="31" hidden="1" customHeight="1" thickBot="1" x14ac:dyDescent="0.35">
      <c r="A4" s="20">
        <v>45992</v>
      </c>
      <c r="B4">
        <v>8137320427</v>
      </c>
      <c r="C4" t="s">
        <v>22</v>
      </c>
      <c r="H4" s="1">
        <v>37145</v>
      </c>
      <c r="I4" s="1">
        <v>1615</v>
      </c>
      <c r="J4" s="1"/>
      <c r="L4" s="8">
        <v>89</v>
      </c>
      <c r="M4" s="16" t="s">
        <v>182</v>
      </c>
      <c r="N4" t="s">
        <v>181</v>
      </c>
      <c r="O4" t="s">
        <v>16</v>
      </c>
      <c r="R4" s="3">
        <v>1</v>
      </c>
      <c r="S4" t="s">
        <v>18</v>
      </c>
      <c r="T4" s="2">
        <v>412644.76</v>
      </c>
    </row>
    <row r="5" spans="1:21" ht="15.5" hidden="1" customHeight="1" x14ac:dyDescent="0.35">
      <c r="A5" s="20">
        <v>45992</v>
      </c>
      <c r="B5">
        <v>8137320428</v>
      </c>
      <c r="C5" t="s">
        <v>23</v>
      </c>
      <c r="H5" s="1">
        <v>2990</v>
      </c>
      <c r="I5" s="1">
        <v>130</v>
      </c>
      <c r="J5" s="1"/>
      <c r="L5" s="8">
        <v>89</v>
      </c>
      <c r="M5" s="16" t="s">
        <v>183</v>
      </c>
      <c r="N5" t="s">
        <v>181</v>
      </c>
      <c r="O5" t="s">
        <v>16</v>
      </c>
      <c r="R5" s="3">
        <v>1</v>
      </c>
      <c r="S5" t="s">
        <v>18</v>
      </c>
      <c r="T5" s="2">
        <v>412644.76</v>
      </c>
    </row>
    <row r="6" spans="1:21" ht="15.5" hidden="1" customHeight="1" x14ac:dyDescent="0.35">
      <c r="A6" s="20">
        <v>45992</v>
      </c>
      <c r="B6">
        <v>8137320429</v>
      </c>
      <c r="C6" t="s">
        <v>24</v>
      </c>
      <c r="H6" s="1">
        <v>85100</v>
      </c>
      <c r="I6" s="1">
        <v>3700</v>
      </c>
      <c r="J6" s="1"/>
      <c r="L6" s="8">
        <v>89</v>
      </c>
      <c r="M6" s="16" t="s">
        <v>184</v>
      </c>
      <c r="N6" t="s">
        <v>181</v>
      </c>
      <c r="O6" t="s">
        <v>16</v>
      </c>
      <c r="R6" s="3">
        <v>1</v>
      </c>
      <c r="S6" t="s">
        <v>18</v>
      </c>
      <c r="T6" s="2">
        <v>412644.76</v>
      </c>
    </row>
    <row r="7" spans="1:21" ht="15.5" hidden="1" customHeight="1" x14ac:dyDescent="0.35">
      <c r="A7" s="20">
        <v>45992</v>
      </c>
      <c r="B7">
        <v>8137320430</v>
      </c>
      <c r="C7" t="s">
        <v>25</v>
      </c>
      <c r="H7" s="1">
        <v>50600</v>
      </c>
      <c r="I7" s="1">
        <v>2200</v>
      </c>
      <c r="J7" s="1"/>
      <c r="L7" s="8">
        <v>89</v>
      </c>
      <c r="M7" s="16" t="s">
        <v>185</v>
      </c>
      <c r="N7" t="s">
        <v>181</v>
      </c>
      <c r="O7" t="s">
        <v>16</v>
      </c>
      <c r="R7" s="3">
        <v>1</v>
      </c>
      <c r="S7" t="s">
        <v>18</v>
      </c>
      <c r="T7" s="2">
        <v>412644.76</v>
      </c>
    </row>
    <row r="8" spans="1:21" ht="15.5" hidden="1" customHeight="1" x14ac:dyDescent="0.35">
      <c r="A8" s="20">
        <v>45992</v>
      </c>
      <c r="B8">
        <v>8137320451</v>
      </c>
      <c r="C8" t="s">
        <v>26</v>
      </c>
      <c r="H8" s="1">
        <v>17250</v>
      </c>
      <c r="I8" s="1">
        <v>750</v>
      </c>
      <c r="J8" s="1"/>
      <c r="L8" s="8">
        <v>89</v>
      </c>
      <c r="M8" s="16" t="s">
        <v>186</v>
      </c>
      <c r="N8" t="s">
        <v>181</v>
      </c>
      <c r="O8" t="s">
        <v>16</v>
      </c>
      <c r="R8" s="3">
        <v>1</v>
      </c>
      <c r="S8" t="s">
        <v>18</v>
      </c>
      <c r="T8" s="2">
        <v>412644.76</v>
      </c>
    </row>
    <row r="9" spans="1:21" ht="15.5" hidden="1" customHeight="1" x14ac:dyDescent="0.35">
      <c r="A9" s="20">
        <v>45992</v>
      </c>
      <c r="B9">
        <v>8137320563</v>
      </c>
      <c r="C9" t="s">
        <v>29</v>
      </c>
      <c r="H9" s="1">
        <v>34100</v>
      </c>
      <c r="I9" s="1">
        <v>1550</v>
      </c>
      <c r="J9" s="1"/>
      <c r="L9" s="8">
        <v>89</v>
      </c>
      <c r="M9" s="16" t="s">
        <v>187</v>
      </c>
      <c r="N9" t="s">
        <v>181</v>
      </c>
      <c r="O9" t="s">
        <v>16</v>
      </c>
      <c r="R9" s="3">
        <v>1</v>
      </c>
      <c r="S9" t="s">
        <v>18</v>
      </c>
      <c r="T9" s="2">
        <v>412644.76</v>
      </c>
    </row>
    <row r="10" spans="1:21" ht="62" hidden="1" customHeight="1" x14ac:dyDescent="0.35">
      <c r="A10" s="20">
        <v>45992</v>
      </c>
      <c r="B10">
        <v>8137320603</v>
      </c>
      <c r="C10" t="s">
        <v>31</v>
      </c>
      <c r="H10" s="1">
        <v>7504.9</v>
      </c>
      <c r="I10" s="1">
        <v>326</v>
      </c>
      <c r="J10" s="1"/>
      <c r="L10" s="8">
        <v>89</v>
      </c>
      <c r="M10" s="16" t="s">
        <v>188</v>
      </c>
      <c r="N10" t="s">
        <v>181</v>
      </c>
      <c r="O10" t="s">
        <v>16</v>
      </c>
      <c r="R10" s="3">
        <v>1</v>
      </c>
      <c r="S10" t="s">
        <v>18</v>
      </c>
      <c r="T10" s="2">
        <v>412644.76</v>
      </c>
    </row>
    <row r="11" spans="1:21" ht="14.5" hidden="1" customHeight="1" x14ac:dyDescent="0.35">
      <c r="A11" s="20">
        <v>45992</v>
      </c>
      <c r="B11">
        <v>8137320616</v>
      </c>
      <c r="C11" t="s">
        <v>33</v>
      </c>
      <c r="H11" s="1">
        <v>8050</v>
      </c>
      <c r="I11" s="1">
        <v>350</v>
      </c>
      <c r="J11" s="1"/>
      <c r="L11" s="8">
        <v>89</v>
      </c>
      <c r="M11" s="16" t="s">
        <v>189</v>
      </c>
      <c r="N11" t="s">
        <v>181</v>
      </c>
      <c r="O11" t="s">
        <v>16</v>
      </c>
      <c r="R11" s="3">
        <v>1</v>
      </c>
      <c r="S11" t="s">
        <v>18</v>
      </c>
      <c r="T11" s="2">
        <v>412644.76</v>
      </c>
    </row>
    <row r="12" spans="1:21" ht="14.5" hidden="1" customHeight="1" x14ac:dyDescent="0.35">
      <c r="A12" s="20">
        <v>45992</v>
      </c>
      <c r="B12">
        <v>8137320617</v>
      </c>
      <c r="C12" t="s">
        <v>34</v>
      </c>
      <c r="H12" s="1">
        <v>6490</v>
      </c>
      <c r="I12" s="1">
        <v>295</v>
      </c>
      <c r="J12" s="1"/>
      <c r="L12" s="8">
        <v>89</v>
      </c>
      <c r="M12" s="16" t="s">
        <v>190</v>
      </c>
      <c r="N12" t="s">
        <v>181</v>
      </c>
      <c r="O12" t="s">
        <v>16</v>
      </c>
      <c r="R12" s="3">
        <v>1</v>
      </c>
      <c r="S12" t="s">
        <v>18</v>
      </c>
      <c r="T12" s="2">
        <v>412644.76</v>
      </c>
    </row>
    <row r="13" spans="1:21" ht="14.5" hidden="1" customHeight="1" x14ac:dyDescent="0.35">
      <c r="A13" s="20">
        <v>45992</v>
      </c>
      <c r="B13">
        <v>8137320625</v>
      </c>
      <c r="C13" t="s">
        <v>37</v>
      </c>
      <c r="H13" s="1">
        <v>51750</v>
      </c>
      <c r="I13" s="1">
        <v>2250</v>
      </c>
      <c r="J13" s="1"/>
      <c r="L13" s="8">
        <v>89</v>
      </c>
      <c r="M13" s="16" t="s">
        <v>191</v>
      </c>
      <c r="N13" t="s">
        <v>181</v>
      </c>
      <c r="O13" t="s">
        <v>16</v>
      </c>
      <c r="R13" s="3">
        <v>1</v>
      </c>
      <c r="S13" t="s">
        <v>18</v>
      </c>
      <c r="T13" s="2">
        <v>412644.76</v>
      </c>
    </row>
    <row r="14" spans="1:21" ht="14.5" hidden="1" customHeight="1" x14ac:dyDescent="0.35">
      <c r="A14" s="20">
        <v>45992</v>
      </c>
      <c r="B14">
        <v>8137320626</v>
      </c>
      <c r="C14" t="s">
        <v>38</v>
      </c>
      <c r="H14" s="1">
        <v>44571.7</v>
      </c>
      <c r="I14" s="1">
        <v>1938</v>
      </c>
      <c r="J14" s="1"/>
      <c r="L14" s="8">
        <v>89</v>
      </c>
      <c r="M14" s="16" t="s">
        <v>192</v>
      </c>
      <c r="N14" t="s">
        <v>181</v>
      </c>
      <c r="O14" t="s">
        <v>16</v>
      </c>
      <c r="R14" s="3">
        <v>1</v>
      </c>
      <c r="S14" t="s">
        <v>18</v>
      </c>
      <c r="T14" s="2">
        <v>412644.76</v>
      </c>
    </row>
    <row r="15" spans="1:21" ht="14.5" hidden="1" customHeight="1" x14ac:dyDescent="0.35">
      <c r="A15" s="20">
        <v>45992</v>
      </c>
      <c r="B15">
        <v>8137320628</v>
      </c>
      <c r="C15" t="s">
        <v>39</v>
      </c>
      <c r="H15" s="1">
        <v>5060</v>
      </c>
      <c r="I15" s="1">
        <v>230</v>
      </c>
      <c r="J15" s="1"/>
      <c r="L15" s="8">
        <v>89</v>
      </c>
      <c r="M15" s="17" t="s">
        <v>193</v>
      </c>
      <c r="N15" t="s">
        <v>181</v>
      </c>
      <c r="O15" t="s">
        <v>16</v>
      </c>
      <c r="R15" s="3">
        <v>1</v>
      </c>
      <c r="S15" t="s">
        <v>18</v>
      </c>
      <c r="T15" s="2">
        <v>412644.76</v>
      </c>
    </row>
    <row r="16" spans="1:21" ht="14.5" hidden="1" customHeight="1" x14ac:dyDescent="0.35">
      <c r="A16" s="20">
        <v>45992</v>
      </c>
      <c r="B16">
        <v>8137320689</v>
      </c>
      <c r="C16" t="s">
        <v>41</v>
      </c>
      <c r="H16" s="1">
        <v>106950</v>
      </c>
      <c r="I16" s="1">
        <v>4650</v>
      </c>
      <c r="J16" s="1"/>
      <c r="L16" s="8">
        <v>89</v>
      </c>
      <c r="M16" s="17" t="s">
        <v>194</v>
      </c>
      <c r="N16" t="s">
        <v>181</v>
      </c>
      <c r="O16" t="s">
        <v>16</v>
      </c>
      <c r="R16" s="3">
        <v>1</v>
      </c>
      <c r="S16" t="s">
        <v>18</v>
      </c>
      <c r="T16" s="2">
        <v>412644.76</v>
      </c>
    </row>
    <row r="17" spans="1:20" ht="14.5" hidden="1" customHeight="1" x14ac:dyDescent="0.35">
      <c r="A17" s="20">
        <v>45992</v>
      </c>
      <c r="B17">
        <v>8137320713</v>
      </c>
      <c r="C17" t="s">
        <v>42</v>
      </c>
      <c r="H17" s="1">
        <v>113304.9</v>
      </c>
      <c r="I17" s="1">
        <v>4926</v>
      </c>
      <c r="J17" s="1"/>
      <c r="L17" s="8">
        <v>89</v>
      </c>
      <c r="M17" s="17">
        <v>625452767841</v>
      </c>
      <c r="N17" t="s">
        <v>181</v>
      </c>
      <c r="O17" t="s">
        <v>16</v>
      </c>
      <c r="R17" s="3">
        <v>1</v>
      </c>
      <c r="S17" t="s">
        <v>18</v>
      </c>
      <c r="T17" s="2">
        <v>412644.76</v>
      </c>
    </row>
    <row r="18" spans="1:20" ht="14.5" hidden="1" customHeight="1" x14ac:dyDescent="0.35">
      <c r="A18" s="20">
        <v>45992</v>
      </c>
      <c r="B18">
        <v>8137320729</v>
      </c>
      <c r="C18" t="s">
        <v>43</v>
      </c>
      <c r="H18" s="1">
        <v>218742.65</v>
      </c>
      <c r="I18" s="1">
        <v>9511</v>
      </c>
      <c r="J18" s="1"/>
      <c r="L18" s="8">
        <v>89</v>
      </c>
      <c r="M18" s="17">
        <v>729686243862</v>
      </c>
      <c r="N18" t="s">
        <v>181</v>
      </c>
      <c r="O18" t="s">
        <v>16</v>
      </c>
      <c r="R18" s="3">
        <v>1</v>
      </c>
      <c r="S18" t="s">
        <v>18</v>
      </c>
      <c r="T18" s="2">
        <v>412644.76</v>
      </c>
    </row>
    <row r="19" spans="1:20" ht="14.5" hidden="1" customHeight="1" x14ac:dyDescent="0.35">
      <c r="A19" s="20">
        <v>45992</v>
      </c>
      <c r="B19">
        <v>8137320734</v>
      </c>
      <c r="C19" t="s">
        <v>44</v>
      </c>
      <c r="H19" s="1">
        <v>56895.1</v>
      </c>
      <c r="I19" s="1">
        <v>2474</v>
      </c>
      <c r="J19" s="1"/>
      <c r="L19" s="8">
        <v>89</v>
      </c>
      <c r="M19" s="17">
        <v>291446930017</v>
      </c>
      <c r="N19" t="s">
        <v>181</v>
      </c>
      <c r="O19" t="s">
        <v>16</v>
      </c>
      <c r="R19" s="3">
        <v>1</v>
      </c>
      <c r="S19" t="s">
        <v>18</v>
      </c>
      <c r="T19" s="2">
        <v>412644.76</v>
      </c>
    </row>
    <row r="20" spans="1:20" ht="14.5" hidden="1" customHeight="1" x14ac:dyDescent="0.35">
      <c r="A20" s="20">
        <v>45992</v>
      </c>
      <c r="B20">
        <v>8137320735</v>
      </c>
      <c r="C20" t="s">
        <v>45</v>
      </c>
      <c r="H20" s="1">
        <v>109562.8</v>
      </c>
      <c r="I20" s="1">
        <v>4764</v>
      </c>
      <c r="J20" s="1"/>
      <c r="L20" s="8">
        <v>89</v>
      </c>
      <c r="M20" s="16" t="s">
        <v>195</v>
      </c>
      <c r="N20" t="s">
        <v>181</v>
      </c>
      <c r="O20" t="s">
        <v>16</v>
      </c>
      <c r="R20" s="3">
        <v>1</v>
      </c>
      <c r="S20" t="s">
        <v>18</v>
      </c>
      <c r="T20" s="2">
        <v>412644.76</v>
      </c>
    </row>
    <row r="21" spans="1:20" ht="14.5" hidden="1" customHeight="1" x14ac:dyDescent="0.35">
      <c r="A21" s="20">
        <v>45992</v>
      </c>
      <c r="B21">
        <v>8137320744</v>
      </c>
      <c r="C21" t="s">
        <v>46</v>
      </c>
      <c r="H21" s="1">
        <v>5175</v>
      </c>
      <c r="I21" s="1">
        <v>237</v>
      </c>
      <c r="J21" s="1"/>
      <c r="L21" s="8">
        <v>89</v>
      </c>
      <c r="M21" s="16" t="s">
        <v>196</v>
      </c>
      <c r="N21" t="s">
        <v>181</v>
      </c>
      <c r="O21" t="s">
        <v>16</v>
      </c>
      <c r="R21" s="3">
        <v>1</v>
      </c>
      <c r="S21" t="s">
        <v>18</v>
      </c>
      <c r="T21" s="2">
        <v>412644.76</v>
      </c>
    </row>
    <row r="22" spans="1:20" ht="14.5" hidden="1" customHeight="1" x14ac:dyDescent="0.35">
      <c r="A22" s="20">
        <v>45992</v>
      </c>
      <c r="B22">
        <v>8137320749</v>
      </c>
      <c r="C22" t="s">
        <v>47</v>
      </c>
      <c r="H22" s="1">
        <v>6988.3</v>
      </c>
      <c r="I22" s="1">
        <v>318</v>
      </c>
      <c r="J22" s="1"/>
      <c r="L22" s="8">
        <v>89</v>
      </c>
      <c r="M22" s="16" t="s">
        <v>197</v>
      </c>
      <c r="N22" t="s">
        <v>181</v>
      </c>
      <c r="O22" t="s">
        <v>16</v>
      </c>
      <c r="R22" s="3">
        <v>1</v>
      </c>
      <c r="S22" t="s">
        <v>18</v>
      </c>
      <c r="T22" s="2">
        <v>412644.76</v>
      </c>
    </row>
    <row r="23" spans="1:20" ht="14.5" hidden="1" customHeight="1" x14ac:dyDescent="0.35">
      <c r="A23" s="20">
        <v>45992</v>
      </c>
      <c r="B23">
        <v>8137320801</v>
      </c>
      <c r="C23" t="s">
        <v>48</v>
      </c>
      <c r="H23" s="1">
        <v>18521.05</v>
      </c>
      <c r="I23" s="1">
        <v>805.26</v>
      </c>
      <c r="J23" s="1"/>
      <c r="L23" s="8">
        <v>89</v>
      </c>
      <c r="M23" s="16" t="s">
        <v>198</v>
      </c>
      <c r="N23" t="s">
        <v>181</v>
      </c>
      <c r="O23" t="s">
        <v>16</v>
      </c>
      <c r="R23" s="3">
        <v>1</v>
      </c>
      <c r="S23" t="s">
        <v>18</v>
      </c>
      <c r="T23" s="2">
        <v>412644.76</v>
      </c>
    </row>
    <row r="24" spans="1:20" ht="14.5" hidden="1" customHeight="1" x14ac:dyDescent="0.35">
      <c r="A24" s="20">
        <v>45992</v>
      </c>
      <c r="B24">
        <v>8137321069</v>
      </c>
      <c r="C24" t="s">
        <v>50</v>
      </c>
      <c r="H24" s="1">
        <v>56531.7</v>
      </c>
      <c r="I24" s="1">
        <v>2458</v>
      </c>
      <c r="J24" s="1"/>
      <c r="L24" s="8">
        <v>89</v>
      </c>
      <c r="M24" s="16" t="s">
        <v>199</v>
      </c>
      <c r="N24" t="s">
        <v>181</v>
      </c>
      <c r="O24" t="s">
        <v>16</v>
      </c>
      <c r="R24" s="3">
        <v>1</v>
      </c>
      <c r="S24" t="s">
        <v>18</v>
      </c>
      <c r="T24" s="2">
        <v>412644.76</v>
      </c>
    </row>
    <row r="25" spans="1:20" ht="14.5" hidden="1" customHeight="1" x14ac:dyDescent="0.35">
      <c r="A25" s="20">
        <v>45992</v>
      </c>
      <c r="B25">
        <v>8137321083</v>
      </c>
      <c r="C25" t="s">
        <v>51</v>
      </c>
      <c r="H25" s="1">
        <v>56531.7</v>
      </c>
      <c r="I25" s="1">
        <v>2458</v>
      </c>
      <c r="J25" s="1"/>
      <c r="L25" s="8">
        <v>89</v>
      </c>
      <c r="M25" s="16" t="s">
        <v>200</v>
      </c>
      <c r="N25" t="s">
        <v>181</v>
      </c>
      <c r="O25" t="s">
        <v>16</v>
      </c>
      <c r="R25" s="3">
        <v>1</v>
      </c>
      <c r="S25" t="s">
        <v>18</v>
      </c>
      <c r="T25" s="2">
        <v>412644.76</v>
      </c>
    </row>
    <row r="26" spans="1:20" ht="14.5" hidden="1" customHeight="1" x14ac:dyDescent="0.35">
      <c r="A26" s="20">
        <v>45992</v>
      </c>
      <c r="B26">
        <v>8137321134</v>
      </c>
      <c r="C26" t="s">
        <v>53</v>
      </c>
      <c r="H26" s="1">
        <v>82315.850000000006</v>
      </c>
      <c r="I26" s="1">
        <v>3579</v>
      </c>
      <c r="J26" s="1"/>
      <c r="L26" s="8">
        <v>89</v>
      </c>
      <c r="M26" s="17">
        <v>163376628984</v>
      </c>
      <c r="N26" t="s">
        <v>181</v>
      </c>
      <c r="O26" t="s">
        <v>16</v>
      </c>
      <c r="R26" s="3">
        <v>1</v>
      </c>
      <c r="S26" t="s">
        <v>18</v>
      </c>
      <c r="T26" s="2">
        <v>412644.76</v>
      </c>
    </row>
    <row r="27" spans="1:20" ht="14.5" hidden="1" customHeight="1" x14ac:dyDescent="0.35">
      <c r="A27" s="20">
        <v>45992</v>
      </c>
      <c r="B27">
        <v>8137321135</v>
      </c>
      <c r="C27" t="s">
        <v>54</v>
      </c>
      <c r="H27" s="1">
        <v>52716</v>
      </c>
      <c r="I27" s="1">
        <v>2292</v>
      </c>
      <c r="J27" s="1"/>
      <c r="L27" s="8">
        <v>89</v>
      </c>
      <c r="M27" s="17">
        <v>567179614471</v>
      </c>
      <c r="N27" t="s">
        <v>181</v>
      </c>
      <c r="O27" t="s">
        <v>16</v>
      </c>
      <c r="R27" s="3">
        <v>1</v>
      </c>
      <c r="S27" t="s">
        <v>18</v>
      </c>
      <c r="T27" s="2">
        <v>412644.76</v>
      </c>
    </row>
    <row r="28" spans="1:20" ht="14.5" hidden="1" customHeight="1" x14ac:dyDescent="0.35">
      <c r="A28" s="20">
        <v>45992</v>
      </c>
      <c r="B28">
        <v>8137321304</v>
      </c>
      <c r="C28" t="s">
        <v>56</v>
      </c>
      <c r="H28" s="1">
        <v>4267.83</v>
      </c>
      <c r="I28" s="1">
        <v>194</v>
      </c>
      <c r="J28" s="1"/>
      <c r="L28" s="8">
        <v>89</v>
      </c>
      <c r="M28" s="17">
        <v>775750397906</v>
      </c>
      <c r="N28" t="s">
        <v>181</v>
      </c>
      <c r="O28" t="s">
        <v>16</v>
      </c>
      <c r="R28" s="3">
        <v>1</v>
      </c>
      <c r="S28" t="s">
        <v>18</v>
      </c>
      <c r="T28" s="2">
        <v>412644.76</v>
      </c>
    </row>
    <row r="29" spans="1:20" ht="14.5" hidden="1" customHeight="1" x14ac:dyDescent="0.35">
      <c r="A29" s="20">
        <v>45992</v>
      </c>
      <c r="B29">
        <v>8137321305</v>
      </c>
      <c r="C29" t="s">
        <v>56</v>
      </c>
      <c r="H29" s="1">
        <v>6395</v>
      </c>
      <c r="I29" s="1">
        <v>31.98</v>
      </c>
      <c r="J29" s="1"/>
      <c r="L29" s="8">
        <v>89</v>
      </c>
      <c r="M29" s="17">
        <v>775750397906</v>
      </c>
      <c r="N29" t="s">
        <v>181</v>
      </c>
      <c r="O29" t="s">
        <v>16</v>
      </c>
      <c r="R29" s="3">
        <v>1</v>
      </c>
      <c r="S29" t="s">
        <v>18</v>
      </c>
      <c r="T29" s="2">
        <v>412644.76</v>
      </c>
    </row>
    <row r="30" spans="1:20" ht="14.5" hidden="1" customHeight="1" x14ac:dyDescent="0.35">
      <c r="A30" s="20">
        <v>45992</v>
      </c>
      <c r="B30">
        <v>8137321309</v>
      </c>
      <c r="C30" t="s">
        <v>57</v>
      </c>
      <c r="H30" s="1">
        <v>10835</v>
      </c>
      <c r="I30" s="1">
        <v>492.5</v>
      </c>
      <c r="J30" s="1"/>
      <c r="L30" s="8">
        <v>89</v>
      </c>
      <c r="M30" s="17">
        <v>732716135862</v>
      </c>
      <c r="N30" t="s">
        <v>181</v>
      </c>
      <c r="O30" t="s">
        <v>16</v>
      </c>
      <c r="R30" s="3">
        <v>1</v>
      </c>
      <c r="S30" t="s">
        <v>18</v>
      </c>
      <c r="T30" s="2">
        <v>412644.76</v>
      </c>
    </row>
    <row r="31" spans="1:20" ht="14.5" hidden="1" customHeight="1" x14ac:dyDescent="0.35">
      <c r="A31" s="20">
        <v>45993</v>
      </c>
      <c r="B31">
        <v>8137321804</v>
      </c>
      <c r="C31" t="s">
        <v>13</v>
      </c>
      <c r="H31" s="1">
        <v>6600</v>
      </c>
      <c r="I31" s="1">
        <v>300</v>
      </c>
      <c r="J31" s="1"/>
      <c r="L31" s="8">
        <v>89</v>
      </c>
      <c r="M31" s="16" t="s">
        <v>201</v>
      </c>
      <c r="N31" t="s">
        <v>181</v>
      </c>
      <c r="O31" t="s">
        <v>16</v>
      </c>
      <c r="R31" s="3">
        <v>1</v>
      </c>
      <c r="S31" t="s">
        <v>18</v>
      </c>
      <c r="T31" s="2">
        <v>412644.76</v>
      </c>
    </row>
    <row r="32" spans="1:20" ht="15" hidden="1" customHeight="1" x14ac:dyDescent="0.35">
      <c r="A32" s="20">
        <v>45993</v>
      </c>
      <c r="B32">
        <v>8137321881</v>
      </c>
      <c r="C32" t="s">
        <v>62</v>
      </c>
      <c r="H32" s="1">
        <v>66700.09</v>
      </c>
      <c r="I32" s="1">
        <v>2900</v>
      </c>
      <c r="J32" s="1"/>
      <c r="L32" s="8">
        <v>89</v>
      </c>
      <c r="M32" s="16" t="s">
        <v>202</v>
      </c>
      <c r="N32" t="s">
        <v>181</v>
      </c>
      <c r="O32" t="s">
        <v>16</v>
      </c>
      <c r="R32" s="3">
        <v>1</v>
      </c>
      <c r="S32" t="s">
        <v>18</v>
      </c>
      <c r="T32" s="2">
        <v>412644.76</v>
      </c>
    </row>
    <row r="33" spans="1:20" ht="14.5" hidden="1" customHeight="1" x14ac:dyDescent="0.35">
      <c r="A33" s="20">
        <v>45993</v>
      </c>
      <c r="B33">
        <v>8137321889</v>
      </c>
      <c r="C33" t="s">
        <v>63</v>
      </c>
      <c r="H33" s="1">
        <v>16170</v>
      </c>
      <c r="I33" s="1">
        <v>735</v>
      </c>
      <c r="J33" s="1"/>
      <c r="L33" s="8">
        <v>89</v>
      </c>
      <c r="M33" s="16" t="s">
        <v>203</v>
      </c>
      <c r="N33" t="s">
        <v>181</v>
      </c>
      <c r="O33" t="s">
        <v>16</v>
      </c>
      <c r="R33" s="3">
        <v>1</v>
      </c>
      <c r="S33" t="s">
        <v>18</v>
      </c>
      <c r="T33" s="2">
        <v>412644.76</v>
      </c>
    </row>
    <row r="34" spans="1:20" ht="14.5" hidden="1" customHeight="1" x14ac:dyDescent="0.35">
      <c r="A34" s="20">
        <v>45993</v>
      </c>
      <c r="B34">
        <v>8137321906</v>
      </c>
      <c r="C34" t="s">
        <v>13</v>
      </c>
      <c r="H34" s="1">
        <v>6600</v>
      </c>
      <c r="I34" s="1">
        <v>300</v>
      </c>
      <c r="J34" s="1"/>
      <c r="L34" s="8">
        <v>89</v>
      </c>
      <c r="M34" s="16" t="s">
        <v>201</v>
      </c>
      <c r="N34" t="s">
        <v>181</v>
      </c>
      <c r="O34" t="s">
        <v>16</v>
      </c>
      <c r="R34" s="3">
        <v>1</v>
      </c>
      <c r="S34" t="s">
        <v>18</v>
      </c>
      <c r="T34" s="2">
        <v>412644.76</v>
      </c>
    </row>
    <row r="35" spans="1:20" ht="14.5" hidden="1" customHeight="1" x14ac:dyDescent="0.35">
      <c r="A35" s="20">
        <v>45993</v>
      </c>
      <c r="B35">
        <v>8137321938</v>
      </c>
      <c r="C35" t="s">
        <v>43</v>
      </c>
      <c r="H35" s="1">
        <v>329808.5</v>
      </c>
      <c r="I35" s="1">
        <v>14339.5</v>
      </c>
      <c r="J35" s="1"/>
      <c r="L35" s="8">
        <v>89</v>
      </c>
      <c r="M35" s="17">
        <v>729686243862</v>
      </c>
      <c r="N35" t="s">
        <v>181</v>
      </c>
      <c r="O35" t="s">
        <v>16</v>
      </c>
      <c r="R35" s="3">
        <v>1</v>
      </c>
      <c r="S35" t="s">
        <v>18</v>
      </c>
      <c r="T35" s="2">
        <v>412644.76</v>
      </c>
    </row>
    <row r="36" spans="1:20" ht="14.5" hidden="1" customHeight="1" x14ac:dyDescent="0.35">
      <c r="A36" s="20">
        <v>45994</v>
      </c>
      <c r="B36">
        <v>8137322363</v>
      </c>
      <c r="C36" t="s">
        <v>66</v>
      </c>
      <c r="H36" s="1">
        <v>153659.54999999999</v>
      </c>
      <c r="I36" s="1">
        <v>6681</v>
      </c>
      <c r="J36" s="1"/>
      <c r="L36" s="8">
        <v>89</v>
      </c>
      <c r="M36" s="16" t="s">
        <v>204</v>
      </c>
      <c r="N36" t="s">
        <v>181</v>
      </c>
      <c r="O36" t="s">
        <v>16</v>
      </c>
      <c r="R36" s="3">
        <v>1</v>
      </c>
      <c r="S36" t="s">
        <v>18</v>
      </c>
      <c r="T36" s="2">
        <v>412644.76</v>
      </c>
    </row>
    <row r="37" spans="1:20" ht="14.5" hidden="1" customHeight="1" x14ac:dyDescent="0.35">
      <c r="A37" s="20">
        <v>45994</v>
      </c>
      <c r="B37">
        <v>8137322368</v>
      </c>
      <c r="C37" t="s">
        <v>67</v>
      </c>
      <c r="H37" s="1">
        <v>15619.3</v>
      </c>
      <c r="I37" s="1">
        <v>679</v>
      </c>
      <c r="J37" s="1"/>
      <c r="L37" s="8">
        <v>89</v>
      </c>
      <c r="M37" s="16" t="s">
        <v>205</v>
      </c>
      <c r="N37" t="s">
        <v>181</v>
      </c>
      <c r="O37" t="s">
        <v>16</v>
      </c>
      <c r="R37" s="3">
        <v>1</v>
      </c>
      <c r="S37" t="s">
        <v>18</v>
      </c>
      <c r="T37" s="2">
        <v>412644.76</v>
      </c>
    </row>
    <row r="38" spans="1:20" ht="14.5" hidden="1" customHeight="1" x14ac:dyDescent="0.35">
      <c r="A38" s="20">
        <v>45994</v>
      </c>
      <c r="B38">
        <v>8137322374</v>
      </c>
      <c r="C38" t="s">
        <v>68</v>
      </c>
      <c r="H38" s="1">
        <v>82003.05</v>
      </c>
      <c r="I38" s="1">
        <v>3565</v>
      </c>
      <c r="J38" s="1"/>
      <c r="L38" s="8">
        <v>89</v>
      </c>
      <c r="M38" s="16" t="s">
        <v>206</v>
      </c>
      <c r="N38" t="s">
        <v>181</v>
      </c>
      <c r="O38" t="s">
        <v>16</v>
      </c>
      <c r="R38" s="3">
        <v>1</v>
      </c>
      <c r="S38" t="s">
        <v>18</v>
      </c>
      <c r="T38" s="2">
        <v>412644.76</v>
      </c>
    </row>
    <row r="39" spans="1:20" ht="14.5" hidden="1" customHeight="1" x14ac:dyDescent="0.35">
      <c r="A39" s="20">
        <v>45994</v>
      </c>
      <c r="B39">
        <v>8137322377</v>
      </c>
      <c r="C39" t="s">
        <v>69</v>
      </c>
      <c r="H39" s="1">
        <v>308315</v>
      </c>
      <c r="I39" s="1">
        <v>13405</v>
      </c>
      <c r="J39" s="1"/>
      <c r="L39" s="8">
        <v>89</v>
      </c>
      <c r="M39" s="17">
        <v>231717197201</v>
      </c>
      <c r="N39" t="s">
        <v>181</v>
      </c>
      <c r="O39" t="s">
        <v>16</v>
      </c>
      <c r="R39" s="3">
        <v>1</v>
      </c>
      <c r="S39" t="s">
        <v>18</v>
      </c>
      <c r="T39" s="2">
        <v>412644.76</v>
      </c>
    </row>
    <row r="40" spans="1:20" ht="14.5" hidden="1" customHeight="1" x14ac:dyDescent="0.35">
      <c r="A40" s="20">
        <v>45994</v>
      </c>
      <c r="B40">
        <v>8137322492</v>
      </c>
      <c r="C40" t="s">
        <v>72</v>
      </c>
      <c r="H40" s="1">
        <v>37076</v>
      </c>
      <c r="I40" s="1">
        <v>1612</v>
      </c>
      <c r="J40" s="1"/>
      <c r="L40" s="8">
        <v>89</v>
      </c>
      <c r="M40" s="16" t="s">
        <v>207</v>
      </c>
      <c r="N40" t="s">
        <v>181</v>
      </c>
      <c r="O40" t="s">
        <v>16</v>
      </c>
      <c r="R40" s="3">
        <v>1</v>
      </c>
      <c r="S40" t="s">
        <v>18</v>
      </c>
      <c r="T40" s="2">
        <v>412644.76</v>
      </c>
    </row>
    <row r="41" spans="1:20" ht="14.5" hidden="1" customHeight="1" x14ac:dyDescent="0.35">
      <c r="A41" s="20">
        <v>45995</v>
      </c>
      <c r="B41">
        <v>8137322806</v>
      </c>
      <c r="C41" s="14" t="s">
        <v>34</v>
      </c>
      <c r="D41" s="36"/>
      <c r="E41" s="36"/>
      <c r="F41" s="36"/>
      <c r="G41" s="36"/>
      <c r="H41" s="1">
        <v>17600</v>
      </c>
      <c r="I41" s="1">
        <v>800</v>
      </c>
      <c r="J41" s="1"/>
      <c r="L41" s="8">
        <v>89</v>
      </c>
      <c r="M41" s="16" t="s">
        <v>190</v>
      </c>
      <c r="N41" t="s">
        <v>181</v>
      </c>
      <c r="O41" t="s">
        <v>16</v>
      </c>
      <c r="P41" s="36"/>
      <c r="Q41" s="36"/>
      <c r="R41" s="3">
        <v>1</v>
      </c>
      <c r="S41" t="s">
        <v>18</v>
      </c>
      <c r="T41" s="2">
        <v>412644.76</v>
      </c>
    </row>
    <row r="42" spans="1:20" ht="14.5" hidden="1" customHeight="1" x14ac:dyDescent="0.35">
      <c r="A42" s="20">
        <v>45998</v>
      </c>
      <c r="B42">
        <v>8137329130</v>
      </c>
      <c r="C42" t="s">
        <v>73</v>
      </c>
      <c r="H42" s="1">
        <v>25875</v>
      </c>
      <c r="I42" s="1">
        <v>1125</v>
      </c>
      <c r="J42" s="1"/>
      <c r="L42" s="8">
        <v>89</v>
      </c>
      <c r="M42" s="16" t="s">
        <v>208</v>
      </c>
      <c r="N42" t="s">
        <v>181</v>
      </c>
      <c r="O42" t="s">
        <v>16</v>
      </c>
      <c r="R42" s="3">
        <v>1</v>
      </c>
      <c r="S42" t="s">
        <v>18</v>
      </c>
      <c r="T42" s="2">
        <v>412644.76</v>
      </c>
    </row>
    <row r="43" spans="1:20" ht="14.5" hidden="1" customHeight="1" x14ac:dyDescent="0.35">
      <c r="A43" s="20">
        <v>45998</v>
      </c>
      <c r="B43">
        <v>8137329204</v>
      </c>
      <c r="C43" t="s">
        <v>33</v>
      </c>
      <c r="H43" s="1">
        <v>27600</v>
      </c>
      <c r="I43" s="1">
        <v>1200</v>
      </c>
      <c r="J43" s="1"/>
      <c r="L43" s="8">
        <v>89</v>
      </c>
      <c r="M43" s="17" t="s">
        <v>189</v>
      </c>
      <c r="N43" t="s">
        <v>181</v>
      </c>
      <c r="O43" t="s">
        <v>16</v>
      </c>
      <c r="R43" s="3">
        <v>1</v>
      </c>
      <c r="S43" t="s">
        <v>18</v>
      </c>
      <c r="T43" s="2">
        <v>412644.76</v>
      </c>
    </row>
    <row r="44" spans="1:20" ht="14.5" hidden="1" customHeight="1" x14ac:dyDescent="0.35">
      <c r="A44" s="20">
        <v>45998</v>
      </c>
      <c r="B44">
        <v>8137329205</v>
      </c>
      <c r="C44" s="14" t="s">
        <v>34</v>
      </c>
      <c r="D44" s="36"/>
      <c r="E44" s="36"/>
      <c r="F44" s="36"/>
      <c r="G44" s="36"/>
      <c r="H44" s="1">
        <v>35200</v>
      </c>
      <c r="I44" s="1">
        <v>1600</v>
      </c>
      <c r="J44" s="1"/>
      <c r="L44" s="8">
        <v>89</v>
      </c>
      <c r="M44" s="17" t="s">
        <v>190</v>
      </c>
      <c r="N44" t="s">
        <v>181</v>
      </c>
      <c r="O44" t="s">
        <v>16</v>
      </c>
      <c r="P44" s="36"/>
      <c r="Q44" s="36"/>
      <c r="R44" s="3">
        <v>1</v>
      </c>
      <c r="S44" t="s">
        <v>18</v>
      </c>
      <c r="T44" s="2">
        <v>412644.76</v>
      </c>
    </row>
    <row r="45" spans="1:20" ht="14.5" hidden="1" customHeight="1" x14ac:dyDescent="0.35">
      <c r="A45" s="20">
        <v>45998</v>
      </c>
      <c r="B45">
        <v>8137329208</v>
      </c>
      <c r="C45" t="s">
        <v>39</v>
      </c>
      <c r="H45" s="1">
        <v>49500</v>
      </c>
      <c r="I45" s="1">
        <v>2250</v>
      </c>
      <c r="J45" s="1"/>
      <c r="L45" s="8">
        <v>89</v>
      </c>
      <c r="M45" s="17" t="s">
        <v>193</v>
      </c>
      <c r="N45" t="s">
        <v>181</v>
      </c>
      <c r="O45" t="s">
        <v>16</v>
      </c>
      <c r="R45" s="3">
        <v>1</v>
      </c>
      <c r="S45" t="s">
        <v>18</v>
      </c>
      <c r="T45" s="2">
        <v>412644.76</v>
      </c>
    </row>
    <row r="46" spans="1:20" ht="14.5" hidden="1" customHeight="1" x14ac:dyDescent="0.35">
      <c r="A46" s="20">
        <v>45998</v>
      </c>
      <c r="B46">
        <v>8137329305</v>
      </c>
      <c r="C46" t="s">
        <v>74</v>
      </c>
      <c r="H46" s="1">
        <v>15400</v>
      </c>
      <c r="I46" s="1">
        <v>700</v>
      </c>
      <c r="J46" s="1"/>
      <c r="L46" s="8">
        <v>89</v>
      </c>
      <c r="M46" s="17">
        <v>825758795509</v>
      </c>
      <c r="N46" t="s">
        <v>181</v>
      </c>
      <c r="O46" t="s">
        <v>16</v>
      </c>
      <c r="R46" s="3">
        <v>1</v>
      </c>
      <c r="S46" t="s">
        <v>18</v>
      </c>
      <c r="T46" s="2">
        <v>412644.76</v>
      </c>
    </row>
    <row r="47" spans="1:20" ht="14.5" hidden="1" customHeight="1" x14ac:dyDescent="0.35">
      <c r="A47" s="20">
        <v>45998</v>
      </c>
      <c r="B47">
        <v>8137329312</v>
      </c>
      <c r="C47" t="s">
        <v>75</v>
      </c>
      <c r="H47" s="1">
        <v>19368</v>
      </c>
      <c r="I47" s="1">
        <v>842</v>
      </c>
      <c r="J47" s="1"/>
      <c r="L47" s="8">
        <v>89</v>
      </c>
      <c r="M47" s="16" t="s">
        <v>209</v>
      </c>
      <c r="N47" t="s">
        <v>181</v>
      </c>
      <c r="O47" t="s">
        <v>16</v>
      </c>
      <c r="R47" s="3">
        <v>1</v>
      </c>
      <c r="S47" t="s">
        <v>18</v>
      </c>
      <c r="T47" s="2">
        <v>412644.76</v>
      </c>
    </row>
    <row r="48" spans="1:20" ht="14.5" hidden="1" customHeight="1" x14ac:dyDescent="0.35">
      <c r="A48" s="20">
        <v>45998</v>
      </c>
      <c r="B48">
        <v>8137329317</v>
      </c>
      <c r="C48" t="s">
        <v>76</v>
      </c>
      <c r="H48" s="1">
        <v>39341</v>
      </c>
      <c r="I48" s="1">
        <v>1710</v>
      </c>
      <c r="J48" s="1"/>
      <c r="L48" s="8">
        <v>89</v>
      </c>
      <c r="M48" s="16" t="s">
        <v>210</v>
      </c>
      <c r="N48" t="s">
        <v>181</v>
      </c>
      <c r="O48" t="s">
        <v>16</v>
      </c>
      <c r="R48" s="3">
        <v>1</v>
      </c>
      <c r="S48" t="s">
        <v>18</v>
      </c>
      <c r="T48" s="2">
        <v>412644.76</v>
      </c>
    </row>
    <row r="49" spans="1:20" ht="77.5" hidden="1" customHeight="1" x14ac:dyDescent="0.35">
      <c r="A49" s="20">
        <v>45998</v>
      </c>
      <c r="B49">
        <v>8137329424</v>
      </c>
      <c r="C49" t="s">
        <v>79</v>
      </c>
      <c r="H49" s="1">
        <v>138000</v>
      </c>
      <c r="I49" s="1">
        <v>6000</v>
      </c>
      <c r="J49" s="1"/>
      <c r="L49" s="8">
        <v>89</v>
      </c>
      <c r="M49" s="16" t="s">
        <v>211</v>
      </c>
      <c r="N49" t="s">
        <v>181</v>
      </c>
      <c r="O49" t="s">
        <v>16</v>
      </c>
      <c r="R49" s="3">
        <v>1</v>
      </c>
      <c r="S49" t="s">
        <v>18</v>
      </c>
      <c r="T49" s="2">
        <v>412644.76</v>
      </c>
    </row>
    <row r="50" spans="1:20" ht="14.5" hidden="1" customHeight="1" x14ac:dyDescent="0.35">
      <c r="A50" s="20">
        <v>45998</v>
      </c>
      <c r="B50">
        <v>8137329591</v>
      </c>
      <c r="C50" t="s">
        <v>80</v>
      </c>
      <c r="H50" s="1">
        <v>23157.75</v>
      </c>
      <c r="I50" s="1">
        <v>1052.5</v>
      </c>
      <c r="J50" s="1"/>
      <c r="L50" s="8">
        <v>89</v>
      </c>
      <c r="M50" s="16" t="s">
        <v>212</v>
      </c>
      <c r="N50" t="s">
        <v>181</v>
      </c>
      <c r="O50" t="s">
        <v>16</v>
      </c>
      <c r="R50" s="3">
        <v>1</v>
      </c>
      <c r="S50" t="s">
        <v>18</v>
      </c>
      <c r="T50" s="2">
        <v>412644.76</v>
      </c>
    </row>
    <row r="51" spans="1:20" ht="14.5" hidden="1" customHeight="1" x14ac:dyDescent="0.35">
      <c r="A51" s="20">
        <v>45998</v>
      </c>
      <c r="B51">
        <v>8137329603</v>
      </c>
      <c r="C51" t="s">
        <v>81</v>
      </c>
      <c r="H51" s="1">
        <v>17552</v>
      </c>
      <c r="I51" s="1">
        <v>763</v>
      </c>
      <c r="J51" s="1"/>
      <c r="L51" s="8">
        <v>89</v>
      </c>
      <c r="M51" s="17">
        <v>168979397638</v>
      </c>
      <c r="N51" t="s">
        <v>181</v>
      </c>
      <c r="O51" t="s">
        <v>16</v>
      </c>
      <c r="R51" s="3">
        <v>1</v>
      </c>
      <c r="S51" t="s">
        <v>18</v>
      </c>
      <c r="T51" s="2">
        <v>412644.76</v>
      </c>
    </row>
    <row r="52" spans="1:20" ht="14.5" hidden="1" customHeight="1" x14ac:dyDescent="0.35">
      <c r="A52" s="20">
        <v>45998</v>
      </c>
      <c r="B52">
        <v>8137329728</v>
      </c>
      <c r="C52" t="s">
        <v>82</v>
      </c>
      <c r="H52" s="1">
        <v>1815.85</v>
      </c>
      <c r="I52" s="1">
        <v>79</v>
      </c>
      <c r="J52" s="1"/>
      <c r="L52" s="8">
        <v>89</v>
      </c>
      <c r="M52" s="16" t="s">
        <v>213</v>
      </c>
      <c r="N52" t="s">
        <v>181</v>
      </c>
      <c r="O52" t="s">
        <v>16</v>
      </c>
      <c r="R52" s="3">
        <v>1</v>
      </c>
      <c r="S52" t="s">
        <v>18</v>
      </c>
      <c r="T52" s="2">
        <v>412644.76</v>
      </c>
    </row>
    <row r="53" spans="1:20" ht="14.5" hidden="1" customHeight="1" x14ac:dyDescent="0.35">
      <c r="A53" s="20">
        <v>45998</v>
      </c>
      <c r="B53">
        <v>8137329830</v>
      </c>
      <c r="C53" t="s">
        <v>84</v>
      </c>
      <c r="H53" s="1">
        <v>28154.449999999993</v>
      </c>
      <c r="I53" s="1">
        <v>1279.74</v>
      </c>
      <c r="J53" s="1"/>
      <c r="L53" s="8">
        <v>89</v>
      </c>
      <c r="M53" s="17">
        <v>328470590925</v>
      </c>
      <c r="N53" t="s">
        <v>181</v>
      </c>
      <c r="O53" t="s">
        <v>16</v>
      </c>
      <c r="R53" s="3">
        <v>1</v>
      </c>
      <c r="S53" t="s">
        <v>18</v>
      </c>
      <c r="T53" s="2">
        <v>412644.76</v>
      </c>
    </row>
    <row r="54" spans="1:20" ht="14.5" hidden="1" customHeight="1" x14ac:dyDescent="0.35">
      <c r="A54" s="20">
        <v>45998</v>
      </c>
      <c r="B54">
        <v>8137329865</v>
      </c>
      <c r="C54" t="s">
        <v>85</v>
      </c>
      <c r="H54" s="1">
        <v>15252.63</v>
      </c>
      <c r="I54" s="1">
        <v>663.16</v>
      </c>
      <c r="J54" s="1"/>
      <c r="L54" s="8">
        <v>89</v>
      </c>
      <c r="M54" s="17" t="s">
        <v>214</v>
      </c>
      <c r="N54" t="s">
        <v>181</v>
      </c>
      <c r="O54" t="s">
        <v>16</v>
      </c>
      <c r="R54" s="3">
        <v>1</v>
      </c>
      <c r="S54" t="s">
        <v>18</v>
      </c>
      <c r="T54" s="2">
        <v>412644.76</v>
      </c>
    </row>
    <row r="55" spans="1:20" ht="14.5" hidden="1" customHeight="1" x14ac:dyDescent="0.35">
      <c r="A55" s="20">
        <v>45998</v>
      </c>
      <c r="B55">
        <v>8137329877</v>
      </c>
      <c r="C55" t="s">
        <v>86</v>
      </c>
      <c r="H55" s="1">
        <v>59558.5</v>
      </c>
      <c r="I55" s="1">
        <v>2590</v>
      </c>
      <c r="J55" s="1"/>
      <c r="L55" s="8">
        <v>89</v>
      </c>
      <c r="M55" s="17" t="s">
        <v>215</v>
      </c>
      <c r="N55" t="s">
        <v>181</v>
      </c>
      <c r="O55" t="s">
        <v>16</v>
      </c>
      <c r="R55" s="3">
        <v>1</v>
      </c>
      <c r="S55" t="s">
        <v>18</v>
      </c>
      <c r="T55" s="2">
        <v>412644.76</v>
      </c>
    </row>
    <row r="56" spans="1:20" ht="14.5" hidden="1" customHeight="1" x14ac:dyDescent="0.35">
      <c r="A56" s="20">
        <v>45998</v>
      </c>
      <c r="B56">
        <v>8137329889</v>
      </c>
      <c r="C56" t="s">
        <v>87</v>
      </c>
      <c r="H56" s="1">
        <v>34500</v>
      </c>
      <c r="I56" s="1">
        <v>1500</v>
      </c>
      <c r="J56" s="1"/>
      <c r="L56" s="8">
        <v>89</v>
      </c>
      <c r="M56" s="17" t="s">
        <v>216</v>
      </c>
      <c r="N56" t="s">
        <v>181</v>
      </c>
      <c r="O56" t="s">
        <v>16</v>
      </c>
      <c r="R56" s="3">
        <v>1</v>
      </c>
      <c r="S56" t="s">
        <v>18</v>
      </c>
      <c r="T56" s="2">
        <v>412644.76</v>
      </c>
    </row>
    <row r="57" spans="1:20" ht="14.5" hidden="1" customHeight="1" x14ac:dyDescent="0.35">
      <c r="A57" s="20">
        <v>45999</v>
      </c>
      <c r="B57">
        <v>8137330183</v>
      </c>
      <c r="C57" t="s">
        <v>93</v>
      </c>
      <c r="H57" s="1">
        <v>46963.7</v>
      </c>
      <c r="I57" s="1">
        <v>2038</v>
      </c>
      <c r="J57" s="1"/>
      <c r="L57" s="8">
        <v>89</v>
      </c>
      <c r="M57" s="16" t="s">
        <v>217</v>
      </c>
      <c r="N57" t="s">
        <v>181</v>
      </c>
      <c r="O57" t="s">
        <v>16</v>
      </c>
      <c r="R57" s="3">
        <v>1</v>
      </c>
      <c r="S57" t="s">
        <v>18</v>
      </c>
      <c r="T57" s="2">
        <v>412644.76</v>
      </c>
    </row>
    <row r="58" spans="1:20" ht="14.5" hidden="1" customHeight="1" x14ac:dyDescent="0.35">
      <c r="A58" s="20">
        <v>45999</v>
      </c>
      <c r="B58">
        <v>8137330199</v>
      </c>
      <c r="C58" t="s">
        <v>11</v>
      </c>
      <c r="H58" s="1">
        <v>41999.96</v>
      </c>
      <c r="I58" s="1">
        <v>1909.08</v>
      </c>
      <c r="J58" s="1"/>
      <c r="L58" s="8">
        <v>89</v>
      </c>
      <c r="M58" s="17" t="s">
        <v>218</v>
      </c>
      <c r="N58" t="s">
        <v>181</v>
      </c>
      <c r="O58" t="s">
        <v>16</v>
      </c>
      <c r="R58" s="3">
        <v>1</v>
      </c>
      <c r="S58" t="s">
        <v>18</v>
      </c>
      <c r="T58" s="2">
        <v>412644.76</v>
      </c>
    </row>
    <row r="59" spans="1:20" ht="14.5" hidden="1" customHeight="1" x14ac:dyDescent="0.35">
      <c r="A59" s="20">
        <v>45999</v>
      </c>
      <c r="B59">
        <v>8137330204</v>
      </c>
      <c r="C59" t="s">
        <v>94</v>
      </c>
      <c r="H59" s="1">
        <v>56333</v>
      </c>
      <c r="I59" s="1">
        <v>2449</v>
      </c>
      <c r="J59" s="1"/>
      <c r="L59" s="8">
        <v>89</v>
      </c>
      <c r="M59" s="16" t="s">
        <v>219</v>
      </c>
      <c r="N59" t="s">
        <v>181</v>
      </c>
      <c r="O59" t="s">
        <v>16</v>
      </c>
      <c r="R59" s="3">
        <v>1</v>
      </c>
      <c r="S59" t="s">
        <v>18</v>
      </c>
      <c r="T59" s="2">
        <v>412644.76</v>
      </c>
    </row>
    <row r="60" spans="1:20" ht="14.5" hidden="1" customHeight="1" x14ac:dyDescent="0.35">
      <c r="A60" s="20">
        <v>45999</v>
      </c>
      <c r="B60">
        <v>8137330322</v>
      </c>
      <c r="C60" t="s">
        <v>96</v>
      </c>
      <c r="H60" s="1">
        <v>52900</v>
      </c>
      <c r="I60" s="1">
        <v>2300</v>
      </c>
      <c r="J60" s="1"/>
      <c r="L60" s="8">
        <v>89</v>
      </c>
      <c r="M60" s="17">
        <v>151366658188</v>
      </c>
      <c r="N60" t="s">
        <v>181</v>
      </c>
      <c r="O60" t="s">
        <v>16</v>
      </c>
      <c r="R60" s="3">
        <v>1</v>
      </c>
      <c r="S60" t="s">
        <v>18</v>
      </c>
      <c r="T60" s="2">
        <v>412644.76</v>
      </c>
    </row>
    <row r="61" spans="1:20" ht="14.5" hidden="1" customHeight="1" x14ac:dyDescent="0.35">
      <c r="A61" s="20">
        <v>45999</v>
      </c>
      <c r="B61">
        <v>8137330324</v>
      </c>
      <c r="C61" t="s">
        <v>97</v>
      </c>
      <c r="H61" s="1">
        <v>310350.5</v>
      </c>
      <c r="I61" s="1">
        <v>13494</v>
      </c>
      <c r="J61" s="1"/>
      <c r="L61" s="8">
        <v>89</v>
      </c>
      <c r="M61" s="16" t="s">
        <v>220</v>
      </c>
      <c r="N61" t="s">
        <v>181</v>
      </c>
      <c r="O61" t="s">
        <v>16</v>
      </c>
      <c r="R61" s="3">
        <v>1</v>
      </c>
      <c r="S61" t="s">
        <v>18</v>
      </c>
      <c r="T61" s="2">
        <v>412644.76</v>
      </c>
    </row>
    <row r="62" spans="1:20" ht="14.5" hidden="1" customHeight="1" x14ac:dyDescent="0.35">
      <c r="A62" s="20">
        <v>45999</v>
      </c>
      <c r="B62">
        <v>8137330337</v>
      </c>
      <c r="C62" t="s">
        <v>99</v>
      </c>
      <c r="H62" s="1">
        <v>254279.95</v>
      </c>
      <c r="I62" s="1">
        <v>11056</v>
      </c>
      <c r="J62" s="1"/>
      <c r="L62" s="8">
        <v>89</v>
      </c>
      <c r="M62" s="17">
        <v>253058948827</v>
      </c>
      <c r="N62" t="s">
        <v>181</v>
      </c>
      <c r="O62" t="s">
        <v>16</v>
      </c>
      <c r="R62" s="3">
        <v>1</v>
      </c>
      <c r="S62" t="s">
        <v>18</v>
      </c>
      <c r="T62" s="2">
        <v>412644.76</v>
      </c>
    </row>
    <row r="63" spans="1:20" ht="14.5" hidden="1" customHeight="1" x14ac:dyDescent="0.35">
      <c r="A63" s="20">
        <v>45999</v>
      </c>
      <c r="B63">
        <v>8137330353</v>
      </c>
      <c r="C63" t="s">
        <v>86</v>
      </c>
      <c r="H63" s="1">
        <v>76788.95</v>
      </c>
      <c r="I63" s="1">
        <v>3339</v>
      </c>
      <c r="J63" s="1"/>
      <c r="L63" s="8">
        <v>89</v>
      </c>
      <c r="M63" s="16" t="s">
        <v>215</v>
      </c>
      <c r="N63" t="s">
        <v>181</v>
      </c>
      <c r="O63" t="s">
        <v>16</v>
      </c>
      <c r="R63" s="3">
        <v>1</v>
      </c>
      <c r="S63" t="s">
        <v>18</v>
      </c>
      <c r="T63" s="2">
        <v>412644.76</v>
      </c>
    </row>
    <row r="64" spans="1:20" ht="14.5" hidden="1" customHeight="1" x14ac:dyDescent="0.35">
      <c r="A64" s="20">
        <v>45999</v>
      </c>
      <c r="B64">
        <v>8137330368</v>
      </c>
      <c r="C64" t="s">
        <v>101</v>
      </c>
      <c r="H64" s="1">
        <v>40020</v>
      </c>
      <c r="I64" s="1">
        <v>1740</v>
      </c>
      <c r="J64" s="1"/>
      <c r="L64" s="8">
        <v>89</v>
      </c>
      <c r="M64" s="17" t="s">
        <v>221</v>
      </c>
      <c r="N64" t="s">
        <v>181</v>
      </c>
      <c r="O64" t="s">
        <v>16</v>
      </c>
      <c r="R64" s="3">
        <v>1</v>
      </c>
      <c r="S64" t="s">
        <v>18</v>
      </c>
      <c r="T64" s="2">
        <v>412644.76</v>
      </c>
    </row>
    <row r="65" spans="1:20" ht="14.5" hidden="1" customHeight="1" x14ac:dyDescent="0.35">
      <c r="A65" s="20">
        <v>45999</v>
      </c>
      <c r="B65">
        <v>8137330554</v>
      </c>
      <c r="C65" t="s">
        <v>105</v>
      </c>
      <c r="H65" s="1">
        <v>46805</v>
      </c>
      <c r="I65" s="1">
        <v>2035</v>
      </c>
      <c r="J65" s="1"/>
      <c r="L65" s="8">
        <v>89</v>
      </c>
      <c r="M65" s="16" t="s">
        <v>222</v>
      </c>
      <c r="N65" t="s">
        <v>181</v>
      </c>
      <c r="O65" t="s">
        <v>16</v>
      </c>
      <c r="R65" s="3">
        <v>1</v>
      </c>
      <c r="S65" t="s">
        <v>18</v>
      </c>
      <c r="T65" s="2">
        <v>412644.76</v>
      </c>
    </row>
    <row r="66" spans="1:20" ht="14.5" hidden="1" customHeight="1" x14ac:dyDescent="0.35">
      <c r="A66" s="20">
        <v>45999</v>
      </c>
      <c r="B66">
        <v>8137330556</v>
      </c>
      <c r="C66" t="s">
        <v>72</v>
      </c>
      <c r="H66" s="1">
        <v>26312</v>
      </c>
      <c r="I66" s="1">
        <v>1144</v>
      </c>
      <c r="J66" s="1"/>
      <c r="L66" s="8">
        <v>89</v>
      </c>
      <c r="M66" s="16" t="s">
        <v>207</v>
      </c>
      <c r="N66" t="s">
        <v>181</v>
      </c>
      <c r="O66" t="s">
        <v>16</v>
      </c>
      <c r="R66" s="3">
        <v>1</v>
      </c>
      <c r="S66" t="s">
        <v>18</v>
      </c>
      <c r="T66" s="2">
        <v>412644.76</v>
      </c>
    </row>
    <row r="67" spans="1:20" ht="14.5" hidden="1" customHeight="1" x14ac:dyDescent="0.35">
      <c r="A67" s="20">
        <v>45999</v>
      </c>
      <c r="B67">
        <v>8137330574</v>
      </c>
      <c r="C67" t="s">
        <v>106</v>
      </c>
      <c r="H67" s="1">
        <v>4052.64</v>
      </c>
      <c r="I67" s="1">
        <v>184.21</v>
      </c>
      <c r="J67" s="1"/>
      <c r="L67" s="8">
        <v>89</v>
      </c>
      <c r="M67" s="16" t="s">
        <v>223</v>
      </c>
      <c r="N67" t="s">
        <v>181</v>
      </c>
      <c r="O67" t="s">
        <v>16</v>
      </c>
      <c r="R67" s="3">
        <v>1</v>
      </c>
      <c r="S67" t="s">
        <v>18</v>
      </c>
      <c r="T67" s="2">
        <v>412644.76</v>
      </c>
    </row>
    <row r="68" spans="1:20" ht="14.5" hidden="1" customHeight="1" x14ac:dyDescent="0.35">
      <c r="A68" s="20">
        <v>46000</v>
      </c>
      <c r="B68">
        <v>8137330702</v>
      </c>
      <c r="C68" t="s">
        <v>108</v>
      </c>
      <c r="H68" s="1">
        <v>17595</v>
      </c>
      <c r="I68" s="1">
        <v>765</v>
      </c>
      <c r="J68" s="1"/>
      <c r="L68" s="8">
        <v>89</v>
      </c>
      <c r="M68" s="17" t="s">
        <v>224</v>
      </c>
      <c r="N68" t="s">
        <v>181</v>
      </c>
      <c r="O68" t="s">
        <v>16</v>
      </c>
      <c r="R68" s="3">
        <v>1</v>
      </c>
      <c r="S68" t="s">
        <v>18</v>
      </c>
      <c r="T68" s="2">
        <v>412644.76</v>
      </c>
    </row>
    <row r="69" spans="1:20" ht="14.5" hidden="1" customHeight="1" x14ac:dyDescent="0.35">
      <c r="A69" s="20">
        <v>46000</v>
      </c>
      <c r="B69">
        <v>8137330987</v>
      </c>
      <c r="C69" t="s">
        <v>111</v>
      </c>
      <c r="H69" s="1">
        <v>22425</v>
      </c>
      <c r="I69" s="1">
        <v>975</v>
      </c>
      <c r="J69" s="1"/>
      <c r="L69" s="8">
        <v>89</v>
      </c>
      <c r="M69" s="16" t="s">
        <v>225</v>
      </c>
      <c r="N69" t="s">
        <v>181</v>
      </c>
      <c r="O69" t="s">
        <v>16</v>
      </c>
      <c r="R69" s="3">
        <v>1</v>
      </c>
      <c r="S69" t="s">
        <v>18</v>
      </c>
      <c r="T69" s="2">
        <v>412644.76</v>
      </c>
    </row>
    <row r="70" spans="1:20" ht="14.5" hidden="1" customHeight="1" x14ac:dyDescent="0.35">
      <c r="A70" s="20">
        <v>46000</v>
      </c>
      <c r="B70">
        <v>8137331103</v>
      </c>
      <c r="C70" t="s">
        <v>57</v>
      </c>
      <c r="H70" s="1">
        <v>4840</v>
      </c>
      <c r="I70" s="1">
        <v>220</v>
      </c>
      <c r="J70" s="1"/>
      <c r="L70" s="8">
        <v>89</v>
      </c>
      <c r="M70" s="17">
        <v>732716135862</v>
      </c>
      <c r="N70" t="s">
        <v>181</v>
      </c>
      <c r="O70" t="s">
        <v>16</v>
      </c>
      <c r="R70" s="3">
        <v>1</v>
      </c>
      <c r="S70" t="s">
        <v>18</v>
      </c>
      <c r="T70" s="2">
        <v>412644.76</v>
      </c>
    </row>
    <row r="71" spans="1:20" ht="16" hidden="1" customHeight="1" x14ac:dyDescent="0.35">
      <c r="A71" s="20">
        <v>46000</v>
      </c>
      <c r="B71">
        <v>8137331122</v>
      </c>
      <c r="C71" t="s">
        <v>114</v>
      </c>
      <c r="H71" s="1">
        <v>115000</v>
      </c>
      <c r="I71" s="1">
        <v>5000</v>
      </c>
      <c r="J71" s="1"/>
      <c r="L71" s="8">
        <v>89</v>
      </c>
      <c r="M71" s="16" t="s">
        <v>226</v>
      </c>
      <c r="N71" t="s">
        <v>181</v>
      </c>
      <c r="O71" t="s">
        <v>16</v>
      </c>
      <c r="R71" s="3">
        <v>1</v>
      </c>
      <c r="S71" t="s">
        <v>18</v>
      </c>
      <c r="T71" s="2">
        <v>412644.76</v>
      </c>
    </row>
    <row r="72" spans="1:20" ht="15.5" hidden="1" customHeight="1" x14ac:dyDescent="0.35">
      <c r="A72" s="20">
        <v>46001</v>
      </c>
      <c r="B72">
        <v>8137331185</v>
      </c>
      <c r="C72" t="s">
        <v>116</v>
      </c>
      <c r="H72" s="1">
        <v>117300</v>
      </c>
      <c r="I72" s="1">
        <v>5075</v>
      </c>
      <c r="J72" s="1"/>
      <c r="L72" s="8">
        <v>89</v>
      </c>
      <c r="M72" s="16" t="s">
        <v>227</v>
      </c>
      <c r="N72" t="s">
        <v>181</v>
      </c>
      <c r="O72" t="s">
        <v>16</v>
      </c>
      <c r="R72" s="3">
        <v>1</v>
      </c>
      <c r="S72" t="s">
        <v>18</v>
      </c>
      <c r="T72" s="2">
        <v>412644.76</v>
      </c>
    </row>
    <row r="73" spans="1:20" ht="15.5" hidden="1" customHeight="1" x14ac:dyDescent="0.35">
      <c r="A73" s="20">
        <v>46001</v>
      </c>
      <c r="B73">
        <v>8137331186</v>
      </c>
      <c r="C73" t="s">
        <v>117</v>
      </c>
      <c r="H73" s="1">
        <v>58650</v>
      </c>
      <c r="I73" s="1">
        <v>2550</v>
      </c>
      <c r="J73" s="1"/>
      <c r="L73" s="8">
        <v>89</v>
      </c>
      <c r="M73" s="16" t="s">
        <v>228</v>
      </c>
      <c r="N73" t="s">
        <v>181</v>
      </c>
      <c r="O73" t="s">
        <v>16</v>
      </c>
      <c r="R73" s="3">
        <v>1</v>
      </c>
      <c r="S73" t="s">
        <v>18</v>
      </c>
      <c r="T73" s="2">
        <v>412644.76</v>
      </c>
    </row>
    <row r="74" spans="1:20" ht="15.5" hidden="1" customHeight="1" x14ac:dyDescent="0.35">
      <c r="A74" s="20">
        <v>46001</v>
      </c>
      <c r="B74">
        <v>8137331215</v>
      </c>
      <c r="C74" t="s">
        <v>119</v>
      </c>
      <c r="H74" s="1">
        <v>31500</v>
      </c>
      <c r="I74" s="1">
        <v>1370</v>
      </c>
      <c r="J74" s="1"/>
      <c r="L74" s="8">
        <v>89</v>
      </c>
      <c r="M74" s="17">
        <v>622253197088</v>
      </c>
      <c r="N74" t="s">
        <v>181</v>
      </c>
      <c r="O74" t="s">
        <v>16</v>
      </c>
      <c r="R74" s="3">
        <v>1</v>
      </c>
      <c r="S74" t="s">
        <v>18</v>
      </c>
      <c r="T74" s="2">
        <v>412644.76</v>
      </c>
    </row>
    <row r="75" spans="1:20" ht="15.5" hidden="1" customHeight="1" x14ac:dyDescent="0.35">
      <c r="A75" s="20">
        <v>46001</v>
      </c>
      <c r="B75">
        <v>8137331217</v>
      </c>
      <c r="C75" t="s">
        <v>121</v>
      </c>
      <c r="H75" s="1">
        <v>52320</v>
      </c>
      <c r="I75" s="1">
        <v>2274</v>
      </c>
      <c r="J75" s="1"/>
      <c r="L75" s="8">
        <v>89</v>
      </c>
      <c r="M75" s="16" t="s">
        <v>229</v>
      </c>
      <c r="N75" t="s">
        <v>181</v>
      </c>
      <c r="O75" t="s">
        <v>16</v>
      </c>
      <c r="R75" s="3">
        <v>1</v>
      </c>
      <c r="S75" t="s">
        <v>18</v>
      </c>
      <c r="T75" s="2">
        <v>412644.76</v>
      </c>
    </row>
    <row r="76" spans="1:20" ht="15.5" hidden="1" customHeight="1" x14ac:dyDescent="0.35">
      <c r="A76" s="20">
        <v>46001</v>
      </c>
      <c r="B76">
        <v>8137331301</v>
      </c>
      <c r="C76" t="s">
        <v>122</v>
      </c>
      <c r="H76" s="1">
        <v>38736</v>
      </c>
      <c r="I76" s="1">
        <v>1684</v>
      </c>
      <c r="J76" s="1"/>
      <c r="L76" s="8">
        <v>89</v>
      </c>
      <c r="M76" s="16" t="s">
        <v>230</v>
      </c>
      <c r="N76" t="s">
        <v>181</v>
      </c>
      <c r="O76" t="s">
        <v>16</v>
      </c>
      <c r="R76" s="3">
        <v>1</v>
      </c>
      <c r="S76" t="s">
        <v>18</v>
      </c>
      <c r="T76" s="2">
        <v>412644.76</v>
      </c>
    </row>
    <row r="77" spans="1:20" ht="15.5" hidden="1" customHeight="1" x14ac:dyDescent="0.35">
      <c r="A77" s="20">
        <v>46001</v>
      </c>
      <c r="B77">
        <v>8137331478</v>
      </c>
      <c r="C77" t="s">
        <v>126</v>
      </c>
      <c r="H77" s="1">
        <v>1150</v>
      </c>
      <c r="I77" s="1">
        <v>50</v>
      </c>
      <c r="J77" s="1"/>
      <c r="L77" s="8">
        <v>89</v>
      </c>
      <c r="M77" s="16" t="s">
        <v>231</v>
      </c>
      <c r="N77" t="s">
        <v>181</v>
      </c>
      <c r="O77" t="s">
        <v>16</v>
      </c>
      <c r="R77" s="3">
        <v>1</v>
      </c>
      <c r="S77" t="s">
        <v>18</v>
      </c>
      <c r="T77" s="2">
        <v>412644.76</v>
      </c>
    </row>
    <row r="78" spans="1:20" ht="15.5" hidden="1" customHeight="1" x14ac:dyDescent="0.35">
      <c r="A78" s="20">
        <v>46001</v>
      </c>
      <c r="B78">
        <v>8137331600</v>
      </c>
      <c r="C78" t="s">
        <v>127</v>
      </c>
      <c r="H78" s="1">
        <v>1236.3999999999999</v>
      </c>
      <c r="I78" s="1">
        <v>56</v>
      </c>
      <c r="J78" s="1"/>
      <c r="L78" s="8">
        <v>89</v>
      </c>
      <c r="M78" s="17">
        <v>792031909655</v>
      </c>
      <c r="N78" t="s">
        <v>181</v>
      </c>
      <c r="O78" t="s">
        <v>16</v>
      </c>
      <c r="R78" s="3">
        <v>1</v>
      </c>
      <c r="S78" t="s">
        <v>18</v>
      </c>
      <c r="T78" s="2">
        <v>412644.76</v>
      </c>
    </row>
    <row r="79" spans="1:20" ht="15.5" hidden="1" customHeight="1" x14ac:dyDescent="0.35">
      <c r="A79" s="20">
        <v>46001</v>
      </c>
      <c r="B79">
        <v>8137331835</v>
      </c>
      <c r="C79" t="s">
        <v>31</v>
      </c>
      <c r="H79" s="1">
        <v>3752.45</v>
      </c>
      <c r="I79" s="1">
        <v>163</v>
      </c>
      <c r="J79" s="1"/>
      <c r="L79" s="8">
        <v>89</v>
      </c>
      <c r="M79" s="16" t="s">
        <v>188</v>
      </c>
      <c r="N79" t="s">
        <v>181</v>
      </c>
      <c r="O79" t="s">
        <v>16</v>
      </c>
      <c r="R79" s="3">
        <v>1</v>
      </c>
      <c r="S79" t="s">
        <v>18</v>
      </c>
      <c r="T79" s="2">
        <v>412644.76</v>
      </c>
    </row>
    <row r="80" spans="1:20" ht="15.5" hidden="1" customHeight="1" x14ac:dyDescent="0.35">
      <c r="A80" s="20">
        <v>46001</v>
      </c>
      <c r="B80">
        <v>8137331985</v>
      </c>
      <c r="C80" t="s">
        <v>85</v>
      </c>
      <c r="H80" s="1">
        <v>15252.63</v>
      </c>
      <c r="I80" s="1">
        <v>663.16</v>
      </c>
      <c r="J80" s="1"/>
      <c r="L80" s="8">
        <v>89</v>
      </c>
      <c r="M80" s="16" t="s">
        <v>214</v>
      </c>
      <c r="N80" t="s">
        <v>181</v>
      </c>
      <c r="O80" t="s">
        <v>16</v>
      </c>
      <c r="R80" s="3">
        <v>1</v>
      </c>
      <c r="S80" t="s">
        <v>18</v>
      </c>
      <c r="T80" s="2">
        <v>412644.76</v>
      </c>
    </row>
    <row r="81" spans="1:20" ht="15.5" hidden="1" customHeight="1" x14ac:dyDescent="0.35">
      <c r="A81" s="20">
        <v>46001</v>
      </c>
      <c r="B81">
        <v>8137331987</v>
      </c>
      <c r="C81" t="s">
        <v>128</v>
      </c>
      <c r="H81" s="1">
        <v>60903.349999999984</v>
      </c>
      <c r="I81" s="1">
        <v>2769</v>
      </c>
      <c r="J81" s="1"/>
      <c r="L81" s="8">
        <v>89</v>
      </c>
      <c r="M81" s="16" t="s">
        <v>232</v>
      </c>
      <c r="N81" t="s">
        <v>181</v>
      </c>
      <c r="O81" t="s">
        <v>16</v>
      </c>
      <c r="R81" s="3">
        <v>1</v>
      </c>
      <c r="S81" t="s">
        <v>18</v>
      </c>
      <c r="T81" s="2">
        <v>412644.76</v>
      </c>
    </row>
    <row r="82" spans="1:20" ht="15.5" hidden="1" customHeight="1" x14ac:dyDescent="0.35">
      <c r="A82" s="20">
        <v>46001</v>
      </c>
      <c r="B82">
        <v>8137331996</v>
      </c>
      <c r="C82" t="s">
        <v>43</v>
      </c>
      <c r="H82" s="1">
        <v>233299.35</v>
      </c>
      <c r="I82" s="1">
        <v>10144</v>
      </c>
      <c r="J82" s="1"/>
      <c r="L82" s="8">
        <v>89</v>
      </c>
      <c r="M82" s="17">
        <v>729686243862</v>
      </c>
      <c r="N82" t="s">
        <v>181</v>
      </c>
      <c r="O82" t="s">
        <v>16</v>
      </c>
      <c r="R82" s="3">
        <v>1</v>
      </c>
      <c r="S82" t="s">
        <v>18</v>
      </c>
      <c r="T82" s="2">
        <v>412644.76</v>
      </c>
    </row>
    <row r="83" spans="1:20" hidden="1" x14ac:dyDescent="0.35">
      <c r="A83" s="20">
        <v>46002</v>
      </c>
      <c r="B83">
        <v>8137332111</v>
      </c>
      <c r="C83" t="s">
        <v>131</v>
      </c>
      <c r="H83" s="1">
        <v>110335.60000000002</v>
      </c>
      <c r="I83" s="1">
        <v>4797.2</v>
      </c>
      <c r="J83" s="1"/>
      <c r="L83" s="8">
        <v>89</v>
      </c>
      <c r="M83" s="16" t="s">
        <v>233</v>
      </c>
      <c r="N83" t="s">
        <v>181</v>
      </c>
      <c r="O83" t="s">
        <v>16</v>
      </c>
      <c r="R83" s="3">
        <v>1</v>
      </c>
      <c r="S83" t="s">
        <v>18</v>
      </c>
      <c r="T83" s="2">
        <v>412644.76</v>
      </c>
    </row>
    <row r="84" spans="1:20" hidden="1" x14ac:dyDescent="0.35">
      <c r="A84" s="20">
        <v>46005</v>
      </c>
      <c r="B84">
        <v>8137332361</v>
      </c>
      <c r="C84" t="s">
        <v>23</v>
      </c>
      <c r="H84" s="1">
        <v>19550</v>
      </c>
      <c r="I84" s="1">
        <v>850</v>
      </c>
      <c r="J84" s="1"/>
      <c r="L84" s="8">
        <v>89</v>
      </c>
      <c r="M84" s="16" t="s">
        <v>183</v>
      </c>
      <c r="N84" t="s">
        <v>181</v>
      </c>
      <c r="O84" t="s">
        <v>16</v>
      </c>
      <c r="R84" s="3">
        <v>1</v>
      </c>
      <c r="S84" t="s">
        <v>18</v>
      </c>
      <c r="T84" s="2">
        <v>412644.76</v>
      </c>
    </row>
    <row r="85" spans="1:20" hidden="1" x14ac:dyDescent="0.35">
      <c r="A85" s="20">
        <v>46005</v>
      </c>
      <c r="B85">
        <v>8137332362</v>
      </c>
      <c r="C85" t="s">
        <v>126</v>
      </c>
      <c r="H85" s="1">
        <v>17250</v>
      </c>
      <c r="I85" s="1">
        <v>750</v>
      </c>
      <c r="J85" s="1"/>
      <c r="L85" s="8">
        <v>89</v>
      </c>
      <c r="M85" s="16" t="s">
        <v>231</v>
      </c>
      <c r="N85" t="s">
        <v>181</v>
      </c>
      <c r="O85" t="s">
        <v>16</v>
      </c>
      <c r="R85" s="3">
        <v>1</v>
      </c>
      <c r="S85" t="s">
        <v>18</v>
      </c>
      <c r="T85" s="2">
        <v>412644.76</v>
      </c>
    </row>
    <row r="86" spans="1:20" hidden="1" x14ac:dyDescent="0.35">
      <c r="A86" s="20">
        <v>46005</v>
      </c>
      <c r="B86">
        <v>8137332363</v>
      </c>
      <c r="C86" t="s">
        <v>25</v>
      </c>
      <c r="H86" s="1">
        <v>121900</v>
      </c>
      <c r="I86" s="1">
        <v>5300</v>
      </c>
      <c r="J86" s="1"/>
      <c r="L86" s="8">
        <v>89</v>
      </c>
      <c r="M86" s="16" t="s">
        <v>185</v>
      </c>
      <c r="N86" t="s">
        <v>181</v>
      </c>
      <c r="O86" t="s">
        <v>16</v>
      </c>
      <c r="R86" s="3">
        <v>1</v>
      </c>
      <c r="S86" t="s">
        <v>18</v>
      </c>
      <c r="T86" s="2">
        <v>412644.76</v>
      </c>
    </row>
    <row r="87" spans="1:20" hidden="1" x14ac:dyDescent="0.35">
      <c r="A87" s="20">
        <v>46005</v>
      </c>
      <c r="B87">
        <v>8137332364</v>
      </c>
      <c r="C87" t="s">
        <v>133</v>
      </c>
      <c r="H87" s="1">
        <v>20125</v>
      </c>
      <c r="I87" s="1">
        <v>875</v>
      </c>
      <c r="J87" s="1"/>
      <c r="L87" s="8">
        <v>89</v>
      </c>
      <c r="M87" s="16" t="s">
        <v>234</v>
      </c>
      <c r="N87" t="s">
        <v>181</v>
      </c>
      <c r="O87" t="s">
        <v>16</v>
      </c>
      <c r="R87" s="3">
        <v>1</v>
      </c>
      <c r="S87" t="s">
        <v>18</v>
      </c>
      <c r="T87" s="2">
        <v>412644.76</v>
      </c>
    </row>
    <row r="88" spans="1:20" hidden="1" x14ac:dyDescent="0.35">
      <c r="A88" s="20">
        <v>46005</v>
      </c>
      <c r="B88">
        <v>8137332397</v>
      </c>
      <c r="C88" t="s">
        <v>134</v>
      </c>
      <c r="H88" s="1">
        <v>16342.11</v>
      </c>
      <c r="I88" s="1">
        <v>710.53</v>
      </c>
      <c r="J88" s="1"/>
      <c r="L88" s="8">
        <v>89</v>
      </c>
      <c r="M88" s="16" t="s">
        <v>235</v>
      </c>
      <c r="N88" t="s">
        <v>181</v>
      </c>
      <c r="O88" t="s">
        <v>16</v>
      </c>
      <c r="R88" s="3">
        <v>1</v>
      </c>
      <c r="S88" t="s">
        <v>18</v>
      </c>
      <c r="T88" s="2">
        <v>412644.76</v>
      </c>
    </row>
    <row r="89" spans="1:20" hidden="1" x14ac:dyDescent="0.35">
      <c r="A89" s="20">
        <v>46005</v>
      </c>
      <c r="B89">
        <v>8137332449</v>
      </c>
      <c r="C89" t="s">
        <v>25</v>
      </c>
      <c r="H89" s="1">
        <v>16790</v>
      </c>
      <c r="I89" s="1">
        <v>730</v>
      </c>
      <c r="J89" s="1"/>
      <c r="L89" s="8">
        <v>89</v>
      </c>
      <c r="M89" s="16" t="s">
        <v>185</v>
      </c>
      <c r="N89" t="s">
        <v>181</v>
      </c>
      <c r="O89" t="s">
        <v>16</v>
      </c>
      <c r="R89" s="3">
        <v>1</v>
      </c>
      <c r="S89" t="s">
        <v>18</v>
      </c>
      <c r="T89" s="2">
        <v>412644.76</v>
      </c>
    </row>
    <row r="90" spans="1:20" hidden="1" x14ac:dyDescent="0.35">
      <c r="A90" s="20">
        <v>46005</v>
      </c>
      <c r="B90">
        <v>8137332586</v>
      </c>
      <c r="C90" t="s">
        <v>136</v>
      </c>
      <c r="H90" s="1">
        <v>36800</v>
      </c>
      <c r="I90" s="1">
        <v>1600</v>
      </c>
      <c r="J90" s="1"/>
      <c r="L90" s="8">
        <v>89</v>
      </c>
      <c r="M90" s="16" t="s">
        <v>236</v>
      </c>
      <c r="N90" t="s">
        <v>181</v>
      </c>
      <c r="O90" t="s">
        <v>16</v>
      </c>
      <c r="R90" s="3">
        <v>1</v>
      </c>
      <c r="S90" t="s">
        <v>18</v>
      </c>
      <c r="T90" s="2">
        <v>412644.76</v>
      </c>
    </row>
    <row r="91" spans="1:20" hidden="1" x14ac:dyDescent="0.35">
      <c r="A91" s="20">
        <v>46005</v>
      </c>
      <c r="B91">
        <v>8137332594</v>
      </c>
      <c r="C91" t="s">
        <v>137</v>
      </c>
      <c r="H91" s="1">
        <v>35000</v>
      </c>
      <c r="I91" s="1">
        <v>1750</v>
      </c>
      <c r="J91" s="1"/>
      <c r="L91" s="8">
        <v>89</v>
      </c>
      <c r="M91" s="16" t="s">
        <v>237</v>
      </c>
      <c r="N91" t="s">
        <v>181</v>
      </c>
      <c r="O91" t="s">
        <v>16</v>
      </c>
      <c r="R91" s="3">
        <v>1</v>
      </c>
      <c r="S91" t="s">
        <v>18</v>
      </c>
      <c r="T91" s="2">
        <v>412644.76</v>
      </c>
    </row>
    <row r="92" spans="1:20" hidden="1" x14ac:dyDescent="0.35">
      <c r="A92" s="20">
        <v>46005</v>
      </c>
      <c r="B92">
        <v>8137332601</v>
      </c>
      <c r="C92" t="s">
        <v>33</v>
      </c>
      <c r="H92" s="1">
        <v>155250</v>
      </c>
      <c r="I92" s="1">
        <v>6750</v>
      </c>
      <c r="J92" s="1"/>
      <c r="L92" s="8">
        <v>89</v>
      </c>
      <c r="M92" s="16" t="s">
        <v>189</v>
      </c>
      <c r="N92" t="s">
        <v>181</v>
      </c>
      <c r="O92" t="s">
        <v>16</v>
      </c>
      <c r="R92" s="3">
        <v>1</v>
      </c>
      <c r="S92" t="s">
        <v>18</v>
      </c>
      <c r="T92" s="2">
        <v>412644.76</v>
      </c>
    </row>
    <row r="93" spans="1:20" hidden="1" x14ac:dyDescent="0.35">
      <c r="A93" s="20">
        <v>46005</v>
      </c>
      <c r="B93">
        <v>8137332620</v>
      </c>
      <c r="C93" t="s">
        <v>139</v>
      </c>
      <c r="H93" s="1">
        <v>39675</v>
      </c>
      <c r="I93" s="1">
        <v>1725</v>
      </c>
      <c r="J93" s="1"/>
      <c r="L93" s="8">
        <v>89</v>
      </c>
      <c r="M93" s="16" t="s">
        <v>238</v>
      </c>
      <c r="N93" t="s">
        <v>181</v>
      </c>
      <c r="O93" t="s">
        <v>16</v>
      </c>
      <c r="R93" s="3">
        <v>1</v>
      </c>
      <c r="S93" t="s">
        <v>18</v>
      </c>
      <c r="T93" s="2">
        <v>412644.76</v>
      </c>
    </row>
    <row r="94" spans="1:20" hidden="1" x14ac:dyDescent="0.35">
      <c r="A94" s="20">
        <v>46005</v>
      </c>
      <c r="B94">
        <v>8137332737</v>
      </c>
      <c r="C94" t="s">
        <v>33</v>
      </c>
      <c r="H94" s="1">
        <v>18400</v>
      </c>
      <c r="I94" s="1">
        <v>800</v>
      </c>
      <c r="J94" s="1"/>
      <c r="L94" s="8">
        <v>89</v>
      </c>
      <c r="M94" s="16" t="s">
        <v>189</v>
      </c>
      <c r="N94" t="s">
        <v>181</v>
      </c>
      <c r="O94" t="s">
        <v>16</v>
      </c>
      <c r="R94" s="3">
        <v>1</v>
      </c>
      <c r="S94" t="s">
        <v>18</v>
      </c>
      <c r="T94" s="2">
        <v>412644.76</v>
      </c>
    </row>
    <row r="95" spans="1:20" hidden="1" x14ac:dyDescent="0.35">
      <c r="A95" s="20">
        <v>46005</v>
      </c>
      <c r="B95">
        <v>8137332738</v>
      </c>
      <c r="C95" t="s">
        <v>33</v>
      </c>
      <c r="H95" s="1">
        <v>18400</v>
      </c>
      <c r="I95" s="1">
        <v>800</v>
      </c>
      <c r="J95" s="1"/>
      <c r="L95" s="8">
        <v>89</v>
      </c>
      <c r="M95" s="16" t="s">
        <v>189</v>
      </c>
      <c r="N95" t="s">
        <v>181</v>
      </c>
      <c r="O95" t="s">
        <v>16</v>
      </c>
      <c r="R95" s="3">
        <v>1</v>
      </c>
      <c r="S95" t="s">
        <v>18</v>
      </c>
      <c r="T95" s="2">
        <v>412644.76</v>
      </c>
    </row>
    <row r="96" spans="1:20" hidden="1" x14ac:dyDescent="0.35">
      <c r="A96" s="20">
        <v>46005</v>
      </c>
      <c r="B96">
        <v>8137332739</v>
      </c>
      <c r="C96" t="s">
        <v>33</v>
      </c>
      <c r="H96" s="1">
        <v>9775</v>
      </c>
      <c r="I96" s="1">
        <v>425</v>
      </c>
      <c r="J96" s="1"/>
      <c r="L96" s="8">
        <v>89</v>
      </c>
      <c r="M96" s="16" t="s">
        <v>189</v>
      </c>
      <c r="N96" t="s">
        <v>181</v>
      </c>
      <c r="O96" t="s">
        <v>16</v>
      </c>
      <c r="R96" s="3">
        <v>1</v>
      </c>
      <c r="S96" t="s">
        <v>18</v>
      </c>
      <c r="T96" s="2">
        <v>412644.76</v>
      </c>
    </row>
    <row r="97" spans="1:20" hidden="1" x14ac:dyDescent="0.35">
      <c r="A97" s="20">
        <v>46005</v>
      </c>
      <c r="B97">
        <v>8137332997</v>
      </c>
      <c r="C97" t="s">
        <v>140</v>
      </c>
      <c r="H97" s="1">
        <v>12075</v>
      </c>
      <c r="I97" s="1">
        <v>525</v>
      </c>
      <c r="J97" s="1"/>
      <c r="L97" s="8">
        <v>89</v>
      </c>
      <c r="M97" s="16" t="s">
        <v>239</v>
      </c>
      <c r="N97" t="s">
        <v>181</v>
      </c>
      <c r="O97" t="s">
        <v>16</v>
      </c>
      <c r="R97" s="3">
        <v>1</v>
      </c>
      <c r="S97" t="s">
        <v>18</v>
      </c>
      <c r="T97" s="2">
        <v>412644.76</v>
      </c>
    </row>
    <row r="98" spans="1:20" hidden="1" x14ac:dyDescent="0.35">
      <c r="A98" s="20">
        <v>46005</v>
      </c>
      <c r="B98">
        <v>8137333040</v>
      </c>
      <c r="C98" t="s">
        <v>46</v>
      </c>
      <c r="H98" s="1">
        <v>35468</v>
      </c>
      <c r="I98" s="1">
        <v>1542</v>
      </c>
      <c r="J98" s="1"/>
      <c r="L98" s="8">
        <v>89</v>
      </c>
      <c r="M98" s="16" t="s">
        <v>196</v>
      </c>
      <c r="N98" t="s">
        <v>181</v>
      </c>
      <c r="O98" t="s">
        <v>16</v>
      </c>
      <c r="R98" s="3">
        <v>1</v>
      </c>
      <c r="S98" t="s">
        <v>18</v>
      </c>
      <c r="T98" s="2">
        <v>412644.76</v>
      </c>
    </row>
    <row r="99" spans="1:20" hidden="1" x14ac:dyDescent="0.35">
      <c r="A99" s="20">
        <v>46005</v>
      </c>
      <c r="B99">
        <v>8137333055</v>
      </c>
      <c r="C99" t="s">
        <v>47</v>
      </c>
      <c r="H99" s="1">
        <v>6988.3</v>
      </c>
      <c r="I99" s="1">
        <v>318</v>
      </c>
      <c r="J99" s="1"/>
      <c r="L99" s="8">
        <v>89</v>
      </c>
      <c r="M99" s="16" t="s">
        <v>197</v>
      </c>
      <c r="N99" t="s">
        <v>181</v>
      </c>
      <c r="O99" t="s">
        <v>16</v>
      </c>
      <c r="R99" s="3">
        <v>1</v>
      </c>
      <c r="S99" t="s">
        <v>18</v>
      </c>
      <c r="T99" s="2">
        <v>412644.76</v>
      </c>
    </row>
    <row r="100" spans="1:20" hidden="1" x14ac:dyDescent="0.35">
      <c r="A100" s="20">
        <v>46005</v>
      </c>
      <c r="B100">
        <v>8137333169</v>
      </c>
      <c r="C100" t="s">
        <v>141</v>
      </c>
      <c r="H100" s="1">
        <v>99475</v>
      </c>
      <c r="I100" s="1">
        <v>4325</v>
      </c>
      <c r="J100" s="1"/>
      <c r="L100" s="8">
        <v>89</v>
      </c>
      <c r="M100" s="17">
        <v>471017753196</v>
      </c>
      <c r="N100" t="s">
        <v>181</v>
      </c>
      <c r="O100" t="s">
        <v>16</v>
      </c>
      <c r="R100" s="3">
        <v>1</v>
      </c>
      <c r="S100" t="s">
        <v>18</v>
      </c>
      <c r="T100" s="2">
        <v>412644.76</v>
      </c>
    </row>
    <row r="101" spans="1:20" hidden="1" x14ac:dyDescent="0.35">
      <c r="A101" s="20">
        <v>46005</v>
      </c>
      <c r="B101">
        <v>8137333232</v>
      </c>
      <c r="C101" t="s">
        <v>142</v>
      </c>
      <c r="H101" s="1">
        <v>49409</v>
      </c>
      <c r="I101" s="1">
        <v>2579</v>
      </c>
      <c r="J101" s="1"/>
      <c r="L101" s="8">
        <v>89</v>
      </c>
      <c r="M101" s="16" t="s">
        <v>240</v>
      </c>
      <c r="N101" t="s">
        <v>181</v>
      </c>
      <c r="O101" t="s">
        <v>16</v>
      </c>
      <c r="R101" s="3">
        <v>1</v>
      </c>
      <c r="S101" t="s">
        <v>18</v>
      </c>
      <c r="T101" s="2">
        <v>412644.76</v>
      </c>
    </row>
    <row r="102" spans="1:20" hidden="1" x14ac:dyDescent="0.35">
      <c r="A102" s="20">
        <v>46005</v>
      </c>
      <c r="B102">
        <v>8137333313</v>
      </c>
      <c r="C102" s="14" t="s">
        <v>34</v>
      </c>
      <c r="D102" s="36"/>
      <c r="E102" s="36"/>
      <c r="F102" s="36"/>
      <c r="G102" s="36"/>
      <c r="H102" s="1">
        <v>11000</v>
      </c>
      <c r="I102" s="1">
        <v>500</v>
      </c>
      <c r="J102" s="1"/>
      <c r="L102" s="8">
        <v>89</v>
      </c>
      <c r="M102" s="16" t="s">
        <v>190</v>
      </c>
      <c r="N102" t="s">
        <v>181</v>
      </c>
      <c r="O102" t="s">
        <v>16</v>
      </c>
      <c r="P102" s="36"/>
      <c r="Q102" s="36"/>
      <c r="R102" s="3">
        <v>1</v>
      </c>
      <c r="S102" t="s">
        <v>18</v>
      </c>
      <c r="T102" s="2">
        <v>412644.76</v>
      </c>
    </row>
    <row r="103" spans="1:20" hidden="1" x14ac:dyDescent="0.35">
      <c r="A103" s="20">
        <v>46005</v>
      </c>
      <c r="B103">
        <v>8137333328</v>
      </c>
      <c r="C103" t="s">
        <v>143</v>
      </c>
      <c r="H103" s="1">
        <v>18763.399999999998</v>
      </c>
      <c r="I103" s="1">
        <v>816</v>
      </c>
      <c r="J103" s="1"/>
      <c r="L103" s="8">
        <v>89</v>
      </c>
      <c r="M103" s="17">
        <v>348299622155</v>
      </c>
      <c r="N103" t="s">
        <v>181</v>
      </c>
      <c r="O103" t="s">
        <v>16</v>
      </c>
      <c r="R103" s="3">
        <v>1</v>
      </c>
      <c r="S103" t="s">
        <v>18</v>
      </c>
      <c r="T103" s="2">
        <v>412644.76</v>
      </c>
    </row>
    <row r="104" spans="1:20" hidden="1" x14ac:dyDescent="0.35">
      <c r="A104" s="20">
        <v>46006</v>
      </c>
      <c r="B104">
        <v>8137333482</v>
      </c>
      <c r="C104" t="s">
        <v>75</v>
      </c>
      <c r="H104" s="1">
        <v>39947</v>
      </c>
      <c r="I104" s="1">
        <v>1737</v>
      </c>
      <c r="J104" s="1"/>
      <c r="L104" s="8">
        <v>89</v>
      </c>
      <c r="M104" s="16" t="s">
        <v>209</v>
      </c>
      <c r="N104" t="s">
        <v>181</v>
      </c>
      <c r="O104" t="s">
        <v>16</v>
      </c>
      <c r="R104" s="3">
        <v>1</v>
      </c>
      <c r="S104" t="s">
        <v>18</v>
      </c>
      <c r="T104" s="2">
        <v>412644.76</v>
      </c>
    </row>
    <row r="105" spans="1:20" hidden="1" x14ac:dyDescent="0.35">
      <c r="A105" s="20">
        <v>46006</v>
      </c>
      <c r="B105">
        <v>8137333483</v>
      </c>
      <c r="C105" t="s">
        <v>144</v>
      </c>
      <c r="H105" s="1">
        <v>54321.3</v>
      </c>
      <c r="I105" s="1">
        <v>2469.15</v>
      </c>
      <c r="J105" s="1"/>
      <c r="L105" s="8">
        <v>89</v>
      </c>
      <c r="M105" s="17">
        <v>143838896374</v>
      </c>
      <c r="N105" t="s">
        <v>181</v>
      </c>
      <c r="O105" t="s">
        <v>16</v>
      </c>
      <c r="R105" s="3">
        <v>1</v>
      </c>
      <c r="S105" t="s">
        <v>18</v>
      </c>
      <c r="T105" s="2">
        <v>412644.76</v>
      </c>
    </row>
    <row r="106" spans="1:20" hidden="1" x14ac:dyDescent="0.35">
      <c r="A106" s="20">
        <v>46006</v>
      </c>
      <c r="B106">
        <v>8137333668</v>
      </c>
      <c r="C106" t="s">
        <v>22</v>
      </c>
      <c r="H106" s="1">
        <v>15352.5</v>
      </c>
      <c r="I106" s="1">
        <v>667.5</v>
      </c>
      <c r="J106" s="1"/>
      <c r="L106" s="8">
        <v>89</v>
      </c>
      <c r="M106" s="16" t="s">
        <v>182</v>
      </c>
      <c r="N106" t="s">
        <v>181</v>
      </c>
      <c r="O106" t="s">
        <v>16</v>
      </c>
      <c r="R106" s="3">
        <v>1</v>
      </c>
      <c r="S106" t="s">
        <v>18</v>
      </c>
      <c r="T106" s="2">
        <v>412644.76</v>
      </c>
    </row>
    <row r="107" spans="1:20" hidden="1" x14ac:dyDescent="0.35">
      <c r="A107" s="20">
        <v>46006</v>
      </c>
      <c r="B107">
        <v>8137333672</v>
      </c>
      <c r="C107" t="s">
        <v>25</v>
      </c>
      <c r="H107" s="1">
        <v>20125</v>
      </c>
      <c r="I107" s="1">
        <v>875</v>
      </c>
      <c r="J107" s="1"/>
      <c r="L107" s="8">
        <v>89</v>
      </c>
      <c r="M107" s="16" t="s">
        <v>185</v>
      </c>
      <c r="N107" t="s">
        <v>181</v>
      </c>
      <c r="O107" t="s">
        <v>16</v>
      </c>
      <c r="R107" s="3">
        <v>1</v>
      </c>
      <c r="S107" t="s">
        <v>18</v>
      </c>
      <c r="T107" s="2">
        <v>412644.76</v>
      </c>
    </row>
    <row r="108" spans="1:20" hidden="1" x14ac:dyDescent="0.35">
      <c r="A108" s="20">
        <v>46006</v>
      </c>
      <c r="B108">
        <v>8137333758</v>
      </c>
      <c r="C108" t="s">
        <v>146</v>
      </c>
      <c r="H108" s="1">
        <v>280600</v>
      </c>
      <c r="I108" s="1">
        <v>12200</v>
      </c>
      <c r="J108" s="1"/>
      <c r="L108" s="8">
        <v>89</v>
      </c>
      <c r="M108" s="16" t="s">
        <v>241</v>
      </c>
      <c r="N108" t="s">
        <v>181</v>
      </c>
      <c r="O108" t="s">
        <v>16</v>
      </c>
      <c r="R108" s="3">
        <v>1</v>
      </c>
      <c r="S108" t="s">
        <v>18</v>
      </c>
      <c r="T108" s="2">
        <v>412644.76</v>
      </c>
    </row>
    <row r="109" spans="1:20" hidden="1" x14ac:dyDescent="0.35">
      <c r="A109" s="20">
        <v>46008</v>
      </c>
      <c r="B109">
        <v>8137334088</v>
      </c>
      <c r="C109" t="s">
        <v>47</v>
      </c>
      <c r="H109" s="1">
        <v>6988.3</v>
      </c>
      <c r="I109" s="1">
        <v>318</v>
      </c>
      <c r="J109" s="1"/>
      <c r="L109" s="8">
        <v>89</v>
      </c>
      <c r="M109" s="16" t="s">
        <v>197</v>
      </c>
      <c r="N109" t="s">
        <v>181</v>
      </c>
      <c r="O109" t="s">
        <v>16</v>
      </c>
      <c r="R109" s="3">
        <v>1</v>
      </c>
      <c r="S109" t="s">
        <v>18</v>
      </c>
      <c r="T109" s="2">
        <v>412644.76</v>
      </c>
    </row>
    <row r="110" spans="1:20" hidden="1" x14ac:dyDescent="0.35">
      <c r="A110" s="20">
        <v>46008</v>
      </c>
      <c r="B110">
        <v>8137334099</v>
      </c>
      <c r="C110" t="s">
        <v>74</v>
      </c>
      <c r="H110" s="1">
        <v>169400</v>
      </c>
      <c r="I110" s="1">
        <v>7700</v>
      </c>
      <c r="J110" s="1"/>
      <c r="L110" s="8">
        <v>89</v>
      </c>
      <c r="M110" s="17">
        <v>825758795509</v>
      </c>
      <c r="N110" t="s">
        <v>181</v>
      </c>
      <c r="O110" t="s">
        <v>16</v>
      </c>
      <c r="R110" s="3">
        <v>1</v>
      </c>
      <c r="S110" t="s">
        <v>18</v>
      </c>
      <c r="T110" s="2">
        <v>412644.76</v>
      </c>
    </row>
    <row r="111" spans="1:20" hidden="1" x14ac:dyDescent="0.35">
      <c r="A111" s="20">
        <v>46008</v>
      </c>
      <c r="B111">
        <v>8137334164</v>
      </c>
      <c r="C111" t="s">
        <v>147</v>
      </c>
      <c r="H111" s="1">
        <v>12744.880000000001</v>
      </c>
      <c r="I111" s="1">
        <v>554.13</v>
      </c>
      <c r="J111" s="1"/>
      <c r="L111" s="8">
        <v>89</v>
      </c>
      <c r="M111" s="16" t="s">
        <v>242</v>
      </c>
      <c r="N111" t="s">
        <v>181</v>
      </c>
      <c r="O111" t="s">
        <v>16</v>
      </c>
      <c r="R111" s="3">
        <v>1</v>
      </c>
      <c r="S111" t="s">
        <v>18</v>
      </c>
      <c r="T111" s="2">
        <v>412644.76</v>
      </c>
    </row>
    <row r="112" spans="1:20" hidden="1" x14ac:dyDescent="0.35">
      <c r="A112" s="20">
        <v>46008</v>
      </c>
      <c r="B112">
        <v>8137334276</v>
      </c>
      <c r="C112" t="s">
        <v>148</v>
      </c>
      <c r="H112" s="1">
        <v>3300</v>
      </c>
      <c r="I112" s="1">
        <v>150</v>
      </c>
      <c r="J112" s="1"/>
      <c r="L112" s="8">
        <v>89</v>
      </c>
      <c r="M112" s="16" t="s">
        <v>243</v>
      </c>
      <c r="N112" t="s">
        <v>181</v>
      </c>
      <c r="O112" t="s">
        <v>16</v>
      </c>
      <c r="R112" s="3">
        <v>1</v>
      </c>
      <c r="S112" t="s">
        <v>18</v>
      </c>
      <c r="T112" s="2">
        <v>412644.76</v>
      </c>
    </row>
    <row r="113" spans="1:20" hidden="1" x14ac:dyDescent="0.35">
      <c r="A113" s="20">
        <v>46008</v>
      </c>
      <c r="B113">
        <v>8137334364</v>
      </c>
      <c r="C113" t="s">
        <v>149</v>
      </c>
      <c r="H113" s="1">
        <v>420</v>
      </c>
      <c r="I113" s="1">
        <v>20</v>
      </c>
      <c r="J113" s="1"/>
      <c r="L113" s="8">
        <v>89</v>
      </c>
      <c r="M113" s="17">
        <v>499066853294</v>
      </c>
      <c r="N113" t="s">
        <v>181</v>
      </c>
      <c r="O113" t="s">
        <v>16</v>
      </c>
      <c r="R113" s="3">
        <v>1</v>
      </c>
      <c r="S113" t="s">
        <v>18</v>
      </c>
      <c r="T113" s="2">
        <v>412644.76</v>
      </c>
    </row>
    <row r="114" spans="1:20" hidden="1" x14ac:dyDescent="0.35">
      <c r="A114" s="20">
        <v>46008</v>
      </c>
      <c r="B114">
        <v>8137334441</v>
      </c>
      <c r="C114" t="s">
        <v>150</v>
      </c>
      <c r="H114" s="1">
        <v>61180</v>
      </c>
      <c r="I114" s="1">
        <v>2660</v>
      </c>
      <c r="J114" s="1"/>
      <c r="L114" s="8">
        <v>89</v>
      </c>
      <c r="M114" s="17">
        <v>255108966530</v>
      </c>
      <c r="N114" t="s">
        <v>181</v>
      </c>
      <c r="O114" t="s">
        <v>16</v>
      </c>
      <c r="R114" s="3">
        <v>1</v>
      </c>
      <c r="S114" t="s">
        <v>18</v>
      </c>
      <c r="T114" s="2">
        <v>412644.76</v>
      </c>
    </row>
    <row r="115" spans="1:20" hidden="1" x14ac:dyDescent="0.35">
      <c r="A115" s="20">
        <v>46008</v>
      </c>
      <c r="B115">
        <v>8137334452</v>
      </c>
      <c r="C115" t="s">
        <v>26</v>
      </c>
      <c r="H115" s="1">
        <v>2990</v>
      </c>
      <c r="I115" s="1">
        <v>130</v>
      </c>
      <c r="J115" s="1"/>
      <c r="L115" s="8">
        <v>89</v>
      </c>
      <c r="M115" s="17" t="s">
        <v>186</v>
      </c>
      <c r="N115" t="s">
        <v>181</v>
      </c>
      <c r="O115" t="s">
        <v>16</v>
      </c>
      <c r="R115" s="3">
        <v>1</v>
      </c>
      <c r="S115" t="s">
        <v>18</v>
      </c>
      <c r="T115" s="2">
        <v>412644.76</v>
      </c>
    </row>
    <row r="116" spans="1:20" hidden="1" x14ac:dyDescent="0.35">
      <c r="A116" s="20">
        <v>46008</v>
      </c>
      <c r="B116">
        <v>8137334491</v>
      </c>
      <c r="C116" t="s">
        <v>22</v>
      </c>
      <c r="H116" s="1">
        <v>22655</v>
      </c>
      <c r="I116" s="1">
        <v>985</v>
      </c>
      <c r="J116" s="1"/>
      <c r="L116" s="8">
        <v>89</v>
      </c>
      <c r="M116" s="16" t="s">
        <v>182</v>
      </c>
      <c r="N116" t="s">
        <v>181</v>
      </c>
      <c r="O116" t="s">
        <v>16</v>
      </c>
      <c r="R116" s="3">
        <v>1</v>
      </c>
      <c r="S116" t="s">
        <v>18</v>
      </c>
      <c r="T116" s="2">
        <v>412644.76</v>
      </c>
    </row>
    <row r="117" spans="1:20" hidden="1" x14ac:dyDescent="0.35">
      <c r="A117" s="20">
        <v>46008</v>
      </c>
      <c r="B117">
        <v>8137334492</v>
      </c>
      <c r="C117" t="s">
        <v>126</v>
      </c>
      <c r="H117" s="1">
        <v>8855</v>
      </c>
      <c r="I117" s="1">
        <v>385</v>
      </c>
      <c r="J117" s="1"/>
      <c r="L117" s="8">
        <v>89</v>
      </c>
      <c r="M117" s="16" t="s">
        <v>231</v>
      </c>
      <c r="N117" t="s">
        <v>181</v>
      </c>
      <c r="O117" t="s">
        <v>16</v>
      </c>
      <c r="R117" s="3">
        <v>1</v>
      </c>
      <c r="S117" t="s">
        <v>18</v>
      </c>
      <c r="T117" s="2">
        <v>412644.76</v>
      </c>
    </row>
    <row r="118" spans="1:20" hidden="1" x14ac:dyDescent="0.35">
      <c r="A118" s="20">
        <v>46008</v>
      </c>
      <c r="B118">
        <v>8137334493</v>
      </c>
      <c r="C118" t="s">
        <v>25</v>
      </c>
      <c r="H118" s="1">
        <v>5980</v>
      </c>
      <c r="I118" s="1">
        <v>260</v>
      </c>
      <c r="J118" s="1"/>
      <c r="L118" s="8">
        <v>89</v>
      </c>
      <c r="M118" s="16" t="s">
        <v>185</v>
      </c>
      <c r="N118" t="s">
        <v>181</v>
      </c>
      <c r="O118" t="s">
        <v>16</v>
      </c>
      <c r="R118" s="3">
        <v>1</v>
      </c>
      <c r="S118" t="s">
        <v>18</v>
      </c>
      <c r="T118" s="2">
        <v>412644.76</v>
      </c>
    </row>
    <row r="119" spans="1:20" hidden="1" x14ac:dyDescent="0.35">
      <c r="A119" s="20">
        <v>46008</v>
      </c>
      <c r="B119">
        <v>8137334691</v>
      </c>
      <c r="C119" t="s">
        <v>31</v>
      </c>
      <c r="H119" s="1">
        <v>5629.25</v>
      </c>
      <c r="I119" s="1">
        <v>245</v>
      </c>
      <c r="J119" s="1"/>
      <c r="L119" s="8">
        <v>89</v>
      </c>
      <c r="M119" s="16" t="s">
        <v>188</v>
      </c>
      <c r="N119" t="s">
        <v>181</v>
      </c>
      <c r="O119" t="s">
        <v>16</v>
      </c>
      <c r="R119" s="3">
        <v>1</v>
      </c>
      <c r="S119" t="s">
        <v>18</v>
      </c>
      <c r="T119" s="2">
        <v>412644.76</v>
      </c>
    </row>
    <row r="120" spans="1:20" hidden="1" x14ac:dyDescent="0.35">
      <c r="A120" s="20">
        <v>46008</v>
      </c>
      <c r="B120">
        <v>8137334802</v>
      </c>
      <c r="C120" t="s">
        <v>153</v>
      </c>
      <c r="H120" s="1">
        <v>8602</v>
      </c>
      <c r="I120" s="1">
        <v>374</v>
      </c>
      <c r="J120" s="1"/>
      <c r="L120" s="8">
        <v>89</v>
      </c>
      <c r="M120" s="16" t="s">
        <v>244</v>
      </c>
      <c r="N120" t="s">
        <v>181</v>
      </c>
      <c r="O120" t="s">
        <v>16</v>
      </c>
      <c r="R120" s="3">
        <v>1</v>
      </c>
      <c r="S120" t="s">
        <v>18</v>
      </c>
      <c r="T120" s="2">
        <v>412644.76</v>
      </c>
    </row>
    <row r="121" spans="1:20" hidden="1" x14ac:dyDescent="0.35">
      <c r="A121" s="20">
        <v>46008</v>
      </c>
      <c r="B121">
        <v>8137334803</v>
      </c>
      <c r="C121" t="s">
        <v>153</v>
      </c>
      <c r="H121" s="1">
        <v>716.1</v>
      </c>
      <c r="I121" s="1">
        <v>34.1</v>
      </c>
      <c r="J121" s="1"/>
      <c r="L121" s="8">
        <v>89</v>
      </c>
      <c r="M121" s="16" t="s">
        <v>244</v>
      </c>
      <c r="N121" t="s">
        <v>181</v>
      </c>
      <c r="O121" t="s">
        <v>16</v>
      </c>
      <c r="R121" s="3">
        <v>1</v>
      </c>
      <c r="S121" t="s">
        <v>18</v>
      </c>
      <c r="T121" s="2">
        <v>412644.76</v>
      </c>
    </row>
    <row r="122" spans="1:20" hidden="1" x14ac:dyDescent="0.35">
      <c r="A122" s="20">
        <v>46008</v>
      </c>
      <c r="B122">
        <v>8137334811</v>
      </c>
      <c r="C122" t="s">
        <v>87</v>
      </c>
      <c r="H122" s="1">
        <v>17250</v>
      </c>
      <c r="I122" s="1">
        <v>750</v>
      </c>
      <c r="J122" s="1"/>
      <c r="L122" s="8">
        <v>89</v>
      </c>
      <c r="M122" s="16" t="s">
        <v>216</v>
      </c>
      <c r="N122" t="s">
        <v>181</v>
      </c>
      <c r="O122" t="s">
        <v>16</v>
      </c>
      <c r="R122" s="3">
        <v>1</v>
      </c>
      <c r="S122" t="s">
        <v>18</v>
      </c>
      <c r="T122" s="2">
        <v>412644.76</v>
      </c>
    </row>
    <row r="123" spans="1:20" hidden="1" x14ac:dyDescent="0.35">
      <c r="A123" s="20">
        <v>46009</v>
      </c>
      <c r="B123">
        <v>8137335038</v>
      </c>
      <c r="C123" t="s">
        <v>76</v>
      </c>
      <c r="H123" s="1">
        <v>21184</v>
      </c>
      <c r="I123" s="1">
        <v>921</v>
      </c>
      <c r="J123" s="1"/>
      <c r="L123" s="8">
        <v>89</v>
      </c>
      <c r="M123" s="16" t="s">
        <v>210</v>
      </c>
      <c r="N123" t="s">
        <v>181</v>
      </c>
      <c r="O123" t="s">
        <v>16</v>
      </c>
      <c r="R123" s="3">
        <v>1</v>
      </c>
      <c r="S123" t="s">
        <v>18</v>
      </c>
      <c r="T123" s="2">
        <v>412644.76</v>
      </c>
    </row>
    <row r="124" spans="1:20" hidden="1" x14ac:dyDescent="0.35">
      <c r="A124" s="20">
        <v>46009</v>
      </c>
      <c r="B124">
        <v>8137335090</v>
      </c>
      <c r="C124" t="s">
        <v>154</v>
      </c>
      <c r="H124" s="1">
        <v>6403.07</v>
      </c>
      <c r="I124" s="1">
        <v>291</v>
      </c>
      <c r="J124" s="1"/>
      <c r="L124" s="8">
        <v>89</v>
      </c>
      <c r="M124" s="16" t="s">
        <v>245</v>
      </c>
      <c r="N124" t="s">
        <v>181</v>
      </c>
      <c r="O124" t="s">
        <v>16</v>
      </c>
      <c r="R124" s="3">
        <v>1</v>
      </c>
      <c r="S124" t="s">
        <v>18</v>
      </c>
      <c r="T124" s="2">
        <v>412644.76</v>
      </c>
    </row>
    <row r="125" spans="1:20" hidden="1" x14ac:dyDescent="0.35">
      <c r="A125" s="20">
        <v>46009</v>
      </c>
      <c r="B125">
        <v>8137335234</v>
      </c>
      <c r="C125" t="s">
        <v>94</v>
      </c>
      <c r="H125" s="1">
        <v>51923</v>
      </c>
      <c r="I125" s="1">
        <v>2258</v>
      </c>
      <c r="J125" s="1"/>
      <c r="L125" s="8">
        <v>89</v>
      </c>
      <c r="M125" s="16" t="s">
        <v>219</v>
      </c>
      <c r="N125" t="s">
        <v>181</v>
      </c>
      <c r="O125" t="s">
        <v>16</v>
      </c>
      <c r="R125" s="3">
        <v>1</v>
      </c>
      <c r="S125" t="s">
        <v>18</v>
      </c>
      <c r="T125" s="2">
        <v>412644.76</v>
      </c>
    </row>
    <row r="126" spans="1:20" hidden="1" x14ac:dyDescent="0.35">
      <c r="A126" s="20">
        <v>46009</v>
      </c>
      <c r="B126">
        <v>8137335261</v>
      </c>
      <c r="C126" t="s">
        <v>87</v>
      </c>
      <c r="H126" s="1">
        <v>15900</v>
      </c>
      <c r="I126" s="1">
        <v>691.3</v>
      </c>
      <c r="J126" s="1"/>
      <c r="L126" s="8">
        <v>89</v>
      </c>
      <c r="M126" s="16" t="s">
        <v>216</v>
      </c>
      <c r="N126" t="s">
        <v>181</v>
      </c>
      <c r="O126" t="s">
        <v>16</v>
      </c>
      <c r="R126" s="3">
        <v>1</v>
      </c>
      <c r="S126" t="s">
        <v>18</v>
      </c>
      <c r="T126" s="2">
        <v>412644.76</v>
      </c>
    </row>
    <row r="127" spans="1:20" hidden="1" x14ac:dyDescent="0.35">
      <c r="A127" s="20">
        <v>46011</v>
      </c>
      <c r="B127">
        <v>8137335455</v>
      </c>
      <c r="C127" t="s">
        <v>56</v>
      </c>
      <c r="H127" s="1">
        <v>5425</v>
      </c>
      <c r="I127" s="1">
        <v>27.13</v>
      </c>
      <c r="J127" s="1"/>
      <c r="L127" s="8">
        <v>89</v>
      </c>
      <c r="M127" s="17">
        <v>775750397906</v>
      </c>
      <c r="N127" t="s">
        <v>181</v>
      </c>
      <c r="O127" t="s">
        <v>16</v>
      </c>
      <c r="R127" s="3">
        <v>1</v>
      </c>
      <c r="S127" t="s">
        <v>18</v>
      </c>
      <c r="T127" s="2">
        <v>412644.76</v>
      </c>
    </row>
    <row r="128" spans="1:20" hidden="1" x14ac:dyDescent="0.35">
      <c r="A128" s="20">
        <v>46011</v>
      </c>
      <c r="B128">
        <v>8137335585</v>
      </c>
      <c r="C128" t="s">
        <v>146</v>
      </c>
      <c r="H128" s="1">
        <v>16100</v>
      </c>
      <c r="I128" s="1">
        <v>700</v>
      </c>
      <c r="J128" s="1"/>
      <c r="L128" s="8">
        <v>89</v>
      </c>
      <c r="M128" s="16" t="s">
        <v>241</v>
      </c>
      <c r="N128" t="s">
        <v>181</v>
      </c>
      <c r="O128" t="s">
        <v>16</v>
      </c>
      <c r="R128" s="3">
        <v>1</v>
      </c>
      <c r="S128" t="s">
        <v>18</v>
      </c>
      <c r="T128" s="2">
        <v>412644.76</v>
      </c>
    </row>
    <row r="129" spans="1:20" hidden="1" x14ac:dyDescent="0.35">
      <c r="A129" s="20">
        <v>46011</v>
      </c>
      <c r="B129">
        <v>8137335587</v>
      </c>
      <c r="C129" t="s">
        <v>24</v>
      </c>
      <c r="H129" s="1">
        <v>136850</v>
      </c>
      <c r="I129" s="1">
        <v>5950</v>
      </c>
      <c r="J129" s="1"/>
      <c r="L129" s="8">
        <v>89</v>
      </c>
      <c r="M129" s="16" t="s">
        <v>184</v>
      </c>
      <c r="N129" t="s">
        <v>181</v>
      </c>
      <c r="O129" t="s">
        <v>16</v>
      </c>
      <c r="R129" s="3">
        <v>1</v>
      </c>
      <c r="S129" t="s">
        <v>18</v>
      </c>
      <c r="T129" s="2">
        <v>412644.76</v>
      </c>
    </row>
    <row r="130" spans="1:20" hidden="1" x14ac:dyDescent="0.35">
      <c r="A130" s="20">
        <v>46011</v>
      </c>
      <c r="B130">
        <v>8137335683</v>
      </c>
      <c r="C130" t="s">
        <v>116</v>
      </c>
      <c r="H130" s="1">
        <v>19550</v>
      </c>
      <c r="I130" s="1">
        <v>850</v>
      </c>
      <c r="J130" s="1"/>
      <c r="L130" s="8">
        <v>89</v>
      </c>
      <c r="M130" s="16" t="s">
        <v>227</v>
      </c>
      <c r="N130" t="s">
        <v>181</v>
      </c>
      <c r="O130" t="s">
        <v>16</v>
      </c>
      <c r="R130" s="3">
        <v>1</v>
      </c>
      <c r="S130" t="s">
        <v>18</v>
      </c>
      <c r="T130" s="2">
        <v>412644.76</v>
      </c>
    </row>
    <row r="131" spans="1:20" hidden="1" x14ac:dyDescent="0.35">
      <c r="A131" s="20">
        <v>46011</v>
      </c>
      <c r="B131">
        <v>8137335684</v>
      </c>
      <c r="C131" t="s">
        <v>117</v>
      </c>
      <c r="H131" s="1">
        <v>19550</v>
      </c>
      <c r="I131" s="1">
        <v>850</v>
      </c>
      <c r="J131" s="1"/>
      <c r="L131" s="8">
        <v>89</v>
      </c>
      <c r="M131" s="16" t="s">
        <v>228</v>
      </c>
      <c r="N131" t="s">
        <v>181</v>
      </c>
      <c r="O131" t="s">
        <v>16</v>
      </c>
      <c r="R131" s="3">
        <v>1</v>
      </c>
      <c r="S131" t="s">
        <v>18</v>
      </c>
      <c r="T131" s="2">
        <v>412644.76</v>
      </c>
    </row>
    <row r="132" spans="1:20" hidden="1" x14ac:dyDescent="0.35">
      <c r="A132" s="20">
        <v>46012</v>
      </c>
      <c r="B132">
        <v>8137336014</v>
      </c>
      <c r="C132" t="s">
        <v>157</v>
      </c>
      <c r="H132" s="1">
        <v>18929.900000000001</v>
      </c>
      <c r="I132" s="1">
        <v>860</v>
      </c>
      <c r="J132" s="1"/>
      <c r="L132" s="8">
        <v>89</v>
      </c>
      <c r="M132" s="16" t="s">
        <v>246</v>
      </c>
      <c r="N132" t="s">
        <v>181</v>
      </c>
      <c r="O132" t="s">
        <v>16</v>
      </c>
      <c r="R132" s="3">
        <v>1</v>
      </c>
      <c r="S132" t="s">
        <v>18</v>
      </c>
      <c r="T132" s="2">
        <v>412644.76</v>
      </c>
    </row>
    <row r="133" spans="1:20" hidden="1" x14ac:dyDescent="0.35">
      <c r="A133" s="20">
        <v>46012</v>
      </c>
      <c r="B133">
        <v>8137336017</v>
      </c>
      <c r="C133" t="s">
        <v>39</v>
      </c>
      <c r="H133" s="1">
        <v>17600</v>
      </c>
      <c r="I133" s="1">
        <v>800</v>
      </c>
      <c r="J133" s="1"/>
      <c r="L133" s="8">
        <v>89</v>
      </c>
      <c r="M133" s="16" t="s">
        <v>193</v>
      </c>
      <c r="N133" t="s">
        <v>181</v>
      </c>
      <c r="O133" t="s">
        <v>16</v>
      </c>
      <c r="R133" s="3">
        <v>1</v>
      </c>
      <c r="S133" t="s">
        <v>18</v>
      </c>
      <c r="T133" s="2">
        <v>412644.76</v>
      </c>
    </row>
    <row r="134" spans="1:20" hidden="1" x14ac:dyDescent="0.35">
      <c r="A134" s="20">
        <v>46012</v>
      </c>
      <c r="B134">
        <v>8137336051</v>
      </c>
      <c r="C134" t="s">
        <v>148</v>
      </c>
      <c r="H134" s="1">
        <v>4631</v>
      </c>
      <c r="I134" s="1">
        <v>210</v>
      </c>
      <c r="J134" s="1"/>
      <c r="L134" s="8">
        <v>89</v>
      </c>
      <c r="M134" s="16" t="s">
        <v>243</v>
      </c>
      <c r="N134" t="s">
        <v>181</v>
      </c>
      <c r="O134" t="s">
        <v>16</v>
      </c>
      <c r="R134" s="3">
        <v>1</v>
      </c>
      <c r="S134" t="s">
        <v>18</v>
      </c>
      <c r="T134" s="2">
        <v>412644.76</v>
      </c>
    </row>
    <row r="135" spans="1:20" hidden="1" x14ac:dyDescent="0.35">
      <c r="A135" s="20">
        <v>46012</v>
      </c>
      <c r="B135">
        <v>8137336053</v>
      </c>
      <c r="C135" t="s">
        <v>80</v>
      </c>
      <c r="H135" s="1">
        <v>15631</v>
      </c>
      <c r="I135" s="1">
        <v>710</v>
      </c>
      <c r="J135" s="1"/>
      <c r="L135" s="8">
        <v>89</v>
      </c>
      <c r="M135" s="16" t="s">
        <v>212</v>
      </c>
      <c r="N135" t="s">
        <v>181</v>
      </c>
      <c r="O135" t="s">
        <v>16</v>
      </c>
      <c r="R135" s="3">
        <v>1</v>
      </c>
      <c r="S135" t="s">
        <v>18</v>
      </c>
      <c r="T135" s="2">
        <v>412644.76</v>
      </c>
    </row>
    <row r="136" spans="1:20" hidden="1" x14ac:dyDescent="0.35">
      <c r="A136" s="20">
        <v>46012</v>
      </c>
      <c r="B136">
        <v>8137336164</v>
      </c>
      <c r="C136" t="s">
        <v>23</v>
      </c>
      <c r="H136" s="1">
        <v>3450</v>
      </c>
      <c r="I136" s="1">
        <v>150</v>
      </c>
      <c r="J136" s="1"/>
      <c r="L136" s="8">
        <v>89</v>
      </c>
      <c r="M136" s="16" t="s">
        <v>183</v>
      </c>
      <c r="N136" t="s">
        <v>181</v>
      </c>
      <c r="O136" t="s">
        <v>16</v>
      </c>
      <c r="R136" s="3">
        <v>1</v>
      </c>
      <c r="S136" t="s">
        <v>18</v>
      </c>
      <c r="T136" s="2">
        <v>412644.76</v>
      </c>
    </row>
    <row r="137" spans="1:20" hidden="1" x14ac:dyDescent="0.35">
      <c r="A137" s="20">
        <v>46012</v>
      </c>
      <c r="B137">
        <v>8137336169</v>
      </c>
      <c r="C137" t="s">
        <v>158</v>
      </c>
      <c r="H137" s="1">
        <v>27035.8</v>
      </c>
      <c r="I137" s="1">
        <v>1229</v>
      </c>
      <c r="J137" s="1"/>
      <c r="L137" s="8">
        <v>89</v>
      </c>
      <c r="M137" s="16" t="s">
        <v>247</v>
      </c>
      <c r="N137" t="s">
        <v>181</v>
      </c>
      <c r="O137" t="s">
        <v>16</v>
      </c>
      <c r="R137" s="3">
        <v>1</v>
      </c>
      <c r="S137" t="s">
        <v>18</v>
      </c>
      <c r="T137" s="2">
        <v>412644.76</v>
      </c>
    </row>
    <row r="138" spans="1:20" hidden="1" x14ac:dyDescent="0.35">
      <c r="A138" s="20">
        <v>46012</v>
      </c>
      <c r="B138">
        <v>8137336332</v>
      </c>
      <c r="C138" t="s">
        <v>76</v>
      </c>
      <c r="H138" s="1">
        <v>63552</v>
      </c>
      <c r="I138" s="1">
        <v>2763</v>
      </c>
      <c r="J138" s="1"/>
      <c r="L138" s="8">
        <v>89</v>
      </c>
      <c r="M138" s="16" t="s">
        <v>210</v>
      </c>
      <c r="N138" t="s">
        <v>181</v>
      </c>
      <c r="O138" t="s">
        <v>16</v>
      </c>
      <c r="R138" s="3">
        <v>1</v>
      </c>
      <c r="S138" t="s">
        <v>18</v>
      </c>
      <c r="T138" s="2">
        <v>412644.76</v>
      </c>
    </row>
    <row r="139" spans="1:20" hidden="1" x14ac:dyDescent="0.35">
      <c r="A139" s="20">
        <v>46013</v>
      </c>
      <c r="B139">
        <v>8137337101</v>
      </c>
      <c r="C139" t="s">
        <v>101</v>
      </c>
      <c r="H139" s="1">
        <v>19320</v>
      </c>
      <c r="I139" s="1">
        <v>840</v>
      </c>
      <c r="J139" s="1"/>
      <c r="L139" s="8">
        <v>89</v>
      </c>
      <c r="M139" s="17" t="s">
        <v>221</v>
      </c>
      <c r="N139" t="s">
        <v>181</v>
      </c>
      <c r="O139" t="s">
        <v>16</v>
      </c>
      <c r="R139" s="3">
        <v>1</v>
      </c>
      <c r="S139" t="s">
        <v>18</v>
      </c>
      <c r="T139" s="2">
        <v>412644.76</v>
      </c>
    </row>
    <row r="140" spans="1:20" hidden="1" x14ac:dyDescent="0.35">
      <c r="A140" s="20">
        <v>46014</v>
      </c>
      <c r="B140">
        <v>8137337157</v>
      </c>
      <c r="C140" t="s">
        <v>159</v>
      </c>
      <c r="H140" s="1">
        <v>16675</v>
      </c>
      <c r="I140" s="1">
        <v>725</v>
      </c>
      <c r="J140" s="1"/>
      <c r="L140" s="8">
        <v>89</v>
      </c>
      <c r="M140" s="17">
        <v>691182407472</v>
      </c>
      <c r="N140" t="s">
        <v>181</v>
      </c>
      <c r="O140" t="s">
        <v>16</v>
      </c>
      <c r="R140" s="3">
        <v>1</v>
      </c>
      <c r="S140" t="s">
        <v>18</v>
      </c>
      <c r="T140" s="2">
        <v>412644.76</v>
      </c>
    </row>
    <row r="141" spans="1:20" hidden="1" x14ac:dyDescent="0.35">
      <c r="A141" s="20">
        <v>46014</v>
      </c>
      <c r="B141">
        <v>8137337305</v>
      </c>
      <c r="C141" t="s">
        <v>22</v>
      </c>
      <c r="H141" s="1">
        <v>76130</v>
      </c>
      <c r="I141" s="1">
        <v>3310</v>
      </c>
      <c r="J141" s="1"/>
      <c r="L141" s="8">
        <v>89</v>
      </c>
      <c r="M141" s="16" t="s">
        <v>182</v>
      </c>
      <c r="N141" t="s">
        <v>181</v>
      </c>
      <c r="O141" t="s">
        <v>16</v>
      </c>
      <c r="R141" s="3">
        <v>1</v>
      </c>
      <c r="S141" t="s">
        <v>18</v>
      </c>
      <c r="T141" s="2">
        <v>412644.76</v>
      </c>
    </row>
    <row r="142" spans="1:20" hidden="1" x14ac:dyDescent="0.35">
      <c r="A142" s="20">
        <v>46014</v>
      </c>
      <c r="B142">
        <v>8137337306</v>
      </c>
      <c r="C142" t="s">
        <v>23</v>
      </c>
      <c r="H142" s="1">
        <v>19550</v>
      </c>
      <c r="I142" s="1">
        <v>850</v>
      </c>
      <c r="J142" s="1"/>
      <c r="L142" s="8">
        <v>89</v>
      </c>
      <c r="M142" s="16" t="s">
        <v>183</v>
      </c>
      <c r="N142" t="s">
        <v>181</v>
      </c>
      <c r="O142" t="s">
        <v>16</v>
      </c>
      <c r="R142" s="3">
        <v>1</v>
      </c>
      <c r="S142" t="s">
        <v>18</v>
      </c>
      <c r="T142" s="2">
        <v>412644.76</v>
      </c>
    </row>
    <row r="143" spans="1:20" hidden="1" x14ac:dyDescent="0.35">
      <c r="A143" s="20">
        <v>46014</v>
      </c>
      <c r="B143">
        <v>8137337307</v>
      </c>
      <c r="C143" t="s">
        <v>25</v>
      </c>
      <c r="H143" s="1">
        <v>10350</v>
      </c>
      <c r="I143" s="1">
        <v>450</v>
      </c>
      <c r="J143" s="1"/>
      <c r="L143" s="8">
        <v>89</v>
      </c>
      <c r="M143" s="16" t="s">
        <v>185</v>
      </c>
      <c r="N143" t="s">
        <v>181</v>
      </c>
      <c r="O143" t="s">
        <v>16</v>
      </c>
      <c r="R143" s="3">
        <v>1</v>
      </c>
      <c r="S143" t="s">
        <v>18</v>
      </c>
      <c r="T143" s="2">
        <v>412644.76</v>
      </c>
    </row>
    <row r="144" spans="1:20" hidden="1" x14ac:dyDescent="0.35">
      <c r="A144" s="20">
        <v>46014</v>
      </c>
      <c r="B144">
        <v>8137337389</v>
      </c>
      <c r="C144" t="s">
        <v>46</v>
      </c>
      <c r="H144" s="1">
        <v>23000</v>
      </c>
      <c r="I144" s="1">
        <v>1000</v>
      </c>
      <c r="J144" s="1"/>
      <c r="L144" s="8">
        <v>89</v>
      </c>
      <c r="M144" s="16" t="s">
        <v>196</v>
      </c>
      <c r="N144" t="s">
        <v>181</v>
      </c>
      <c r="O144" t="s">
        <v>16</v>
      </c>
      <c r="R144" s="3">
        <v>1</v>
      </c>
      <c r="S144" t="s">
        <v>18</v>
      </c>
      <c r="T144" s="2">
        <v>412644.76</v>
      </c>
    </row>
    <row r="145" spans="1:20" hidden="1" x14ac:dyDescent="0.35">
      <c r="A145" s="20">
        <v>46014</v>
      </c>
      <c r="B145">
        <v>8137337390</v>
      </c>
      <c r="C145" t="s">
        <v>33</v>
      </c>
      <c r="H145" s="1">
        <v>46000</v>
      </c>
      <c r="I145" s="1">
        <v>2000</v>
      </c>
      <c r="J145" s="1"/>
      <c r="L145" s="8">
        <v>89</v>
      </c>
      <c r="M145" s="16" t="s">
        <v>189</v>
      </c>
      <c r="N145" t="s">
        <v>181</v>
      </c>
      <c r="O145" t="s">
        <v>16</v>
      </c>
      <c r="R145" s="3">
        <v>1</v>
      </c>
      <c r="S145" t="s">
        <v>18</v>
      </c>
      <c r="T145" s="2">
        <v>412644.76</v>
      </c>
    </row>
    <row r="146" spans="1:20" hidden="1" x14ac:dyDescent="0.35">
      <c r="A146" s="20">
        <v>46014</v>
      </c>
      <c r="B146">
        <v>8137337391</v>
      </c>
      <c r="C146" s="14" t="s">
        <v>34</v>
      </c>
      <c r="D146" s="36"/>
      <c r="E146" s="36"/>
      <c r="F146" s="36"/>
      <c r="G146" s="36"/>
      <c r="H146" s="1">
        <v>162250</v>
      </c>
      <c r="I146" s="1">
        <v>7375</v>
      </c>
      <c r="J146" s="1"/>
      <c r="L146" s="8">
        <v>89</v>
      </c>
      <c r="M146" s="16" t="s">
        <v>190</v>
      </c>
      <c r="N146" t="s">
        <v>181</v>
      </c>
      <c r="O146" t="s">
        <v>16</v>
      </c>
      <c r="P146" s="36"/>
      <c r="Q146" s="36"/>
      <c r="R146" s="3">
        <v>1</v>
      </c>
      <c r="S146" t="s">
        <v>18</v>
      </c>
      <c r="T146" s="2">
        <v>412644.76</v>
      </c>
    </row>
    <row r="147" spans="1:20" hidden="1" x14ac:dyDescent="0.35">
      <c r="A147" s="20">
        <v>46014</v>
      </c>
      <c r="B147">
        <v>8137337437</v>
      </c>
      <c r="C147" t="s">
        <v>161</v>
      </c>
      <c r="H147" s="1">
        <v>38640</v>
      </c>
      <c r="I147" s="1">
        <v>1680</v>
      </c>
      <c r="J147" s="1"/>
      <c r="L147" s="8">
        <v>89</v>
      </c>
      <c r="M147" s="17">
        <v>786014256264</v>
      </c>
      <c r="N147" t="s">
        <v>181</v>
      </c>
      <c r="O147" t="s">
        <v>16</v>
      </c>
      <c r="R147" s="3">
        <v>1</v>
      </c>
      <c r="S147" t="s">
        <v>18</v>
      </c>
      <c r="T147" s="2">
        <v>412644.76</v>
      </c>
    </row>
    <row r="148" spans="1:20" hidden="1" x14ac:dyDescent="0.35">
      <c r="A148" s="20">
        <v>46014</v>
      </c>
      <c r="B148">
        <v>8137337456</v>
      </c>
      <c r="C148" s="14" t="s">
        <v>34</v>
      </c>
      <c r="D148" s="36"/>
      <c r="E148" s="36"/>
      <c r="F148" s="36"/>
      <c r="G148" s="36"/>
      <c r="H148" s="1">
        <v>17600</v>
      </c>
      <c r="I148" s="1">
        <v>800</v>
      </c>
      <c r="J148" s="1"/>
      <c r="L148" s="8">
        <v>89</v>
      </c>
      <c r="M148" s="16" t="s">
        <v>190</v>
      </c>
      <c r="N148" t="s">
        <v>181</v>
      </c>
      <c r="O148" t="s">
        <v>16</v>
      </c>
      <c r="P148" s="36"/>
      <c r="Q148" s="36"/>
      <c r="R148" s="3">
        <v>1</v>
      </c>
      <c r="S148" t="s">
        <v>18</v>
      </c>
      <c r="T148" s="2">
        <v>412644.76</v>
      </c>
    </row>
    <row r="149" spans="1:20" hidden="1" x14ac:dyDescent="0.35">
      <c r="A149" s="20">
        <v>46015</v>
      </c>
      <c r="B149">
        <v>8137340961</v>
      </c>
      <c r="C149" t="s">
        <v>162</v>
      </c>
      <c r="H149" s="1">
        <v>38580.199999999997</v>
      </c>
      <c r="I149" s="1">
        <v>1677.4</v>
      </c>
      <c r="J149" s="1"/>
      <c r="L149" s="8">
        <v>89</v>
      </c>
      <c r="M149" s="16" t="s">
        <v>248</v>
      </c>
      <c r="N149" t="s">
        <v>181</v>
      </c>
      <c r="O149" t="s">
        <v>16</v>
      </c>
      <c r="R149" s="3">
        <v>1</v>
      </c>
      <c r="S149" t="s">
        <v>18</v>
      </c>
      <c r="T149" s="2">
        <v>412644.76</v>
      </c>
    </row>
    <row r="150" spans="1:20" hidden="1" x14ac:dyDescent="0.35">
      <c r="A150" s="20">
        <v>46015</v>
      </c>
      <c r="B150">
        <v>8137341118</v>
      </c>
      <c r="C150" t="s">
        <v>33</v>
      </c>
      <c r="H150" s="1">
        <v>57500</v>
      </c>
      <c r="I150" s="1">
        <v>2500</v>
      </c>
      <c r="J150" s="1"/>
      <c r="L150" s="8">
        <v>89</v>
      </c>
      <c r="M150" s="16" t="s">
        <v>189</v>
      </c>
      <c r="N150" t="s">
        <v>181</v>
      </c>
      <c r="O150" t="s">
        <v>16</v>
      </c>
      <c r="R150" s="3">
        <v>1</v>
      </c>
      <c r="S150" t="s">
        <v>18</v>
      </c>
      <c r="T150" s="2">
        <v>412644.76</v>
      </c>
    </row>
    <row r="151" spans="1:20" hidden="1" x14ac:dyDescent="0.35">
      <c r="A151" s="20">
        <v>46015</v>
      </c>
      <c r="B151">
        <v>8137341124</v>
      </c>
      <c r="C151" t="s">
        <v>33</v>
      </c>
      <c r="H151" s="1">
        <v>18400</v>
      </c>
      <c r="I151" s="1">
        <v>800</v>
      </c>
      <c r="J151" s="1"/>
      <c r="L151" s="8">
        <v>89</v>
      </c>
      <c r="M151" s="16" t="s">
        <v>189</v>
      </c>
      <c r="N151" t="s">
        <v>181</v>
      </c>
      <c r="O151" t="s">
        <v>16</v>
      </c>
      <c r="R151" s="3">
        <v>1</v>
      </c>
      <c r="S151" t="s">
        <v>18</v>
      </c>
      <c r="T151" s="2">
        <v>412644.76</v>
      </c>
    </row>
    <row r="152" spans="1:20" hidden="1" x14ac:dyDescent="0.35">
      <c r="A152" s="20">
        <v>46015</v>
      </c>
      <c r="B152">
        <v>8137341125</v>
      </c>
      <c r="C152" t="s">
        <v>33</v>
      </c>
      <c r="H152" s="1">
        <v>18400</v>
      </c>
      <c r="I152" s="1">
        <v>800</v>
      </c>
      <c r="J152" s="1"/>
      <c r="L152" s="8">
        <v>89</v>
      </c>
      <c r="M152" s="16" t="s">
        <v>189</v>
      </c>
      <c r="N152" t="s">
        <v>181</v>
      </c>
      <c r="O152" t="s">
        <v>16</v>
      </c>
      <c r="R152" s="3">
        <v>1</v>
      </c>
      <c r="S152" t="s">
        <v>18</v>
      </c>
      <c r="T152" s="2">
        <v>412644.76</v>
      </c>
    </row>
    <row r="153" spans="1:20" hidden="1" x14ac:dyDescent="0.35">
      <c r="A153" s="20">
        <v>46019</v>
      </c>
      <c r="B153">
        <v>8137341425</v>
      </c>
      <c r="C153" t="s">
        <v>63</v>
      </c>
      <c r="H153" s="1">
        <v>13860</v>
      </c>
      <c r="I153" s="1">
        <v>630</v>
      </c>
      <c r="J153" s="1"/>
      <c r="L153" s="8">
        <v>89</v>
      </c>
      <c r="M153" s="16" t="s">
        <v>203</v>
      </c>
      <c r="N153" t="s">
        <v>181</v>
      </c>
      <c r="O153" t="s">
        <v>16</v>
      </c>
      <c r="R153" s="3">
        <v>1</v>
      </c>
      <c r="S153" t="s">
        <v>18</v>
      </c>
      <c r="T153" s="2">
        <v>412644.76</v>
      </c>
    </row>
    <row r="154" spans="1:20" hidden="1" x14ac:dyDescent="0.35">
      <c r="A154" s="20">
        <v>46019</v>
      </c>
      <c r="B154">
        <v>8137341502</v>
      </c>
      <c r="C154" t="s">
        <v>164</v>
      </c>
      <c r="H154" s="1">
        <v>18400</v>
      </c>
      <c r="I154" s="1">
        <v>800</v>
      </c>
      <c r="J154" s="1"/>
      <c r="L154" s="8">
        <v>89</v>
      </c>
      <c r="M154" s="17">
        <v>310421342336</v>
      </c>
      <c r="N154" t="s">
        <v>181</v>
      </c>
      <c r="O154" t="s">
        <v>16</v>
      </c>
      <c r="R154" s="3">
        <v>1</v>
      </c>
      <c r="S154" t="s">
        <v>18</v>
      </c>
      <c r="T154" s="2">
        <v>412644.76</v>
      </c>
    </row>
    <row r="155" spans="1:20" hidden="1" x14ac:dyDescent="0.35">
      <c r="A155" s="20">
        <v>46019</v>
      </c>
      <c r="B155">
        <v>8137341505</v>
      </c>
      <c r="C155" t="s">
        <v>146</v>
      </c>
      <c r="H155" s="1">
        <v>16100</v>
      </c>
      <c r="I155" s="1">
        <v>700</v>
      </c>
      <c r="J155" s="1"/>
      <c r="L155" s="8">
        <v>89</v>
      </c>
      <c r="M155" s="16" t="s">
        <v>241</v>
      </c>
      <c r="N155" t="s">
        <v>181</v>
      </c>
      <c r="O155" t="s">
        <v>16</v>
      </c>
      <c r="R155" s="3">
        <v>1</v>
      </c>
      <c r="S155" t="s">
        <v>18</v>
      </c>
      <c r="T155" s="2">
        <v>412644.76</v>
      </c>
    </row>
    <row r="156" spans="1:20" hidden="1" x14ac:dyDescent="0.35">
      <c r="A156" s="20">
        <v>46019</v>
      </c>
      <c r="B156">
        <v>8137341513</v>
      </c>
      <c r="C156" t="s">
        <v>12</v>
      </c>
      <c r="H156" s="1">
        <v>98196.78</v>
      </c>
      <c r="I156" s="1">
        <v>4464</v>
      </c>
      <c r="J156" s="1"/>
      <c r="L156" s="8">
        <v>89</v>
      </c>
      <c r="M156" s="17">
        <v>731341844603</v>
      </c>
      <c r="N156" t="s">
        <v>181</v>
      </c>
      <c r="O156" t="s">
        <v>16</v>
      </c>
      <c r="R156" s="3">
        <v>1</v>
      </c>
      <c r="S156" t="s">
        <v>18</v>
      </c>
      <c r="T156" s="2">
        <v>412644.76</v>
      </c>
    </row>
    <row r="157" spans="1:20" hidden="1" x14ac:dyDescent="0.35">
      <c r="A157" s="20">
        <v>46019</v>
      </c>
      <c r="B157">
        <v>8137341597</v>
      </c>
      <c r="C157" t="s">
        <v>166</v>
      </c>
      <c r="H157" s="1">
        <v>14599.199999999999</v>
      </c>
      <c r="I157" s="1">
        <v>663.6</v>
      </c>
      <c r="J157" s="1"/>
      <c r="L157" s="8">
        <v>89</v>
      </c>
      <c r="M157" s="16" t="s">
        <v>249</v>
      </c>
      <c r="N157" t="s">
        <v>181</v>
      </c>
      <c r="O157" t="s">
        <v>16</v>
      </c>
      <c r="R157" s="3">
        <v>1</v>
      </c>
      <c r="S157" t="s">
        <v>18</v>
      </c>
      <c r="T157" s="2">
        <v>412644.76</v>
      </c>
    </row>
    <row r="158" spans="1:20" hidden="1" x14ac:dyDescent="0.35">
      <c r="A158" s="20">
        <v>46019</v>
      </c>
      <c r="B158">
        <v>8137341621</v>
      </c>
      <c r="C158" t="s">
        <v>80</v>
      </c>
      <c r="H158" s="1">
        <v>1128.9299999999998</v>
      </c>
      <c r="I158" s="1">
        <v>51.3</v>
      </c>
      <c r="J158" s="1"/>
      <c r="L158" s="8">
        <v>89</v>
      </c>
      <c r="M158" s="16" t="s">
        <v>212</v>
      </c>
      <c r="N158" t="s">
        <v>181</v>
      </c>
      <c r="O158" t="s">
        <v>16</v>
      </c>
      <c r="R158" s="3">
        <v>1</v>
      </c>
      <c r="S158" t="s">
        <v>18</v>
      </c>
      <c r="T158" s="2">
        <v>412644.76</v>
      </c>
    </row>
    <row r="159" spans="1:20" hidden="1" x14ac:dyDescent="0.35">
      <c r="A159" s="20">
        <v>46019</v>
      </c>
      <c r="B159">
        <v>8137341647</v>
      </c>
      <c r="C159" t="s">
        <v>79</v>
      </c>
      <c r="H159" s="1">
        <v>34500</v>
      </c>
      <c r="I159" s="1">
        <v>1500</v>
      </c>
      <c r="J159" s="1"/>
      <c r="L159" s="8">
        <v>89</v>
      </c>
      <c r="M159" s="16" t="s">
        <v>211</v>
      </c>
      <c r="N159" t="s">
        <v>181</v>
      </c>
      <c r="O159" t="s">
        <v>16</v>
      </c>
      <c r="R159" s="3">
        <v>1</v>
      </c>
      <c r="S159" t="s">
        <v>18</v>
      </c>
      <c r="T159" s="2">
        <v>412644.76</v>
      </c>
    </row>
    <row r="160" spans="1:20" hidden="1" x14ac:dyDescent="0.35">
      <c r="A160" s="20">
        <v>46019</v>
      </c>
      <c r="B160">
        <v>8137341659</v>
      </c>
      <c r="C160" t="s">
        <v>154</v>
      </c>
      <c r="H160" s="1">
        <v>9204.2200000000012</v>
      </c>
      <c r="I160" s="1">
        <v>418</v>
      </c>
      <c r="J160" s="1"/>
      <c r="L160" s="8">
        <v>89</v>
      </c>
      <c r="M160" s="16" t="s">
        <v>245</v>
      </c>
      <c r="N160" t="s">
        <v>181</v>
      </c>
      <c r="O160" t="s">
        <v>16</v>
      </c>
      <c r="R160" s="3">
        <v>1</v>
      </c>
      <c r="S160" t="s">
        <v>18</v>
      </c>
      <c r="T160" s="2">
        <v>412644.76</v>
      </c>
    </row>
    <row r="161" spans="1:20" hidden="1" x14ac:dyDescent="0.35">
      <c r="A161" s="20">
        <v>46019</v>
      </c>
      <c r="B161">
        <v>8137341886</v>
      </c>
      <c r="C161" t="s">
        <v>141</v>
      </c>
      <c r="H161" s="1">
        <v>59800</v>
      </c>
      <c r="I161" s="1">
        <v>2596</v>
      </c>
      <c r="J161" s="1"/>
      <c r="L161" s="8">
        <v>89</v>
      </c>
      <c r="M161" s="17">
        <v>471017753196</v>
      </c>
      <c r="N161" t="s">
        <v>181</v>
      </c>
      <c r="O161" t="s">
        <v>16</v>
      </c>
      <c r="R161" s="3">
        <v>1</v>
      </c>
      <c r="S161" t="s">
        <v>18</v>
      </c>
      <c r="T161" s="2">
        <v>412644.76</v>
      </c>
    </row>
    <row r="162" spans="1:20" hidden="1" x14ac:dyDescent="0.35">
      <c r="A162" s="20">
        <v>46019</v>
      </c>
      <c r="B162">
        <v>8137341889</v>
      </c>
      <c r="C162" t="s">
        <v>43</v>
      </c>
      <c r="H162" s="1">
        <v>218662.15</v>
      </c>
      <c r="I162" s="1">
        <v>9507</v>
      </c>
      <c r="J162" s="1"/>
      <c r="L162" s="8">
        <v>89</v>
      </c>
      <c r="M162" s="17">
        <v>729686243862</v>
      </c>
      <c r="N162" t="s">
        <v>181</v>
      </c>
      <c r="O162" t="s">
        <v>16</v>
      </c>
      <c r="R162" s="3">
        <v>1</v>
      </c>
      <c r="S162" t="s">
        <v>18</v>
      </c>
      <c r="T162" s="2">
        <v>412644.76</v>
      </c>
    </row>
    <row r="163" spans="1:20" hidden="1" x14ac:dyDescent="0.35">
      <c r="A163" s="20">
        <v>46019</v>
      </c>
      <c r="B163">
        <v>8137341895</v>
      </c>
      <c r="C163" t="s">
        <v>45</v>
      </c>
      <c r="H163" s="1">
        <v>113453.25</v>
      </c>
      <c r="I163" s="1">
        <v>4933</v>
      </c>
      <c r="J163" s="1"/>
      <c r="L163" s="8">
        <v>89</v>
      </c>
      <c r="M163" s="16" t="s">
        <v>195</v>
      </c>
      <c r="N163" t="s">
        <v>181</v>
      </c>
      <c r="O163" t="s">
        <v>16</v>
      </c>
      <c r="R163" s="3">
        <v>1</v>
      </c>
      <c r="S163" t="s">
        <v>18</v>
      </c>
      <c r="T163" s="2">
        <v>412644.76</v>
      </c>
    </row>
    <row r="164" spans="1:20" hidden="1" x14ac:dyDescent="0.35">
      <c r="A164" s="20">
        <v>46019</v>
      </c>
      <c r="B164">
        <v>8137341962</v>
      </c>
      <c r="C164" t="s">
        <v>167</v>
      </c>
      <c r="H164" s="1">
        <v>4500.18</v>
      </c>
      <c r="I164" s="1">
        <v>195.66</v>
      </c>
      <c r="J164" s="1"/>
      <c r="L164" s="8">
        <v>89</v>
      </c>
      <c r="M164" s="16" t="s">
        <v>250</v>
      </c>
      <c r="N164" t="s">
        <v>181</v>
      </c>
      <c r="O164" t="s">
        <v>16</v>
      </c>
      <c r="R164" s="3">
        <v>1</v>
      </c>
      <c r="S164" t="s">
        <v>18</v>
      </c>
      <c r="T164" s="2">
        <v>412644.76</v>
      </c>
    </row>
    <row r="165" spans="1:20" hidden="1" x14ac:dyDescent="0.35">
      <c r="A165" s="20">
        <v>46019</v>
      </c>
      <c r="B165">
        <v>8137341963</v>
      </c>
      <c r="C165" t="s">
        <v>167</v>
      </c>
      <c r="H165" s="1">
        <v>5589.15</v>
      </c>
      <c r="I165" s="1">
        <v>266.14999999999998</v>
      </c>
      <c r="J165" s="1"/>
      <c r="L165" s="8">
        <v>89</v>
      </c>
      <c r="M165" s="16" t="s">
        <v>250</v>
      </c>
      <c r="N165" t="s">
        <v>181</v>
      </c>
      <c r="O165" t="s">
        <v>16</v>
      </c>
      <c r="R165" s="3">
        <v>1</v>
      </c>
      <c r="S165" t="s">
        <v>18</v>
      </c>
      <c r="T165" s="2">
        <v>412644.76</v>
      </c>
    </row>
    <row r="166" spans="1:20" hidden="1" x14ac:dyDescent="0.35">
      <c r="A166" s="20">
        <v>46019</v>
      </c>
      <c r="B166">
        <v>8137342005</v>
      </c>
      <c r="C166" t="s">
        <v>47</v>
      </c>
      <c r="H166" s="1">
        <v>6988.3</v>
      </c>
      <c r="I166" s="1">
        <v>318</v>
      </c>
      <c r="J166" s="1"/>
      <c r="L166" s="8">
        <v>89</v>
      </c>
      <c r="M166" s="16" t="s">
        <v>197</v>
      </c>
      <c r="N166" t="s">
        <v>181</v>
      </c>
      <c r="O166" t="s">
        <v>16</v>
      </c>
      <c r="R166" s="3">
        <v>1</v>
      </c>
      <c r="S166" t="s">
        <v>18</v>
      </c>
      <c r="T166" s="2">
        <v>412644.76</v>
      </c>
    </row>
    <row r="167" spans="1:20" hidden="1" x14ac:dyDescent="0.35">
      <c r="A167" s="20">
        <v>46019</v>
      </c>
      <c r="B167">
        <v>8137342040</v>
      </c>
      <c r="C167" t="s">
        <v>128</v>
      </c>
      <c r="H167" s="1">
        <v>54994.560000000012</v>
      </c>
      <c r="I167" s="1">
        <v>2499.75</v>
      </c>
      <c r="J167" s="1"/>
      <c r="L167" s="8">
        <v>89</v>
      </c>
      <c r="M167" s="16" t="s">
        <v>232</v>
      </c>
      <c r="N167" t="s">
        <v>181</v>
      </c>
      <c r="O167" t="s">
        <v>16</v>
      </c>
      <c r="R167" s="3">
        <v>1</v>
      </c>
      <c r="S167" t="s">
        <v>18</v>
      </c>
      <c r="T167" s="2">
        <v>412644.76</v>
      </c>
    </row>
    <row r="168" spans="1:20" hidden="1" x14ac:dyDescent="0.35">
      <c r="A168" s="20">
        <v>46019</v>
      </c>
      <c r="B168">
        <v>8137342243</v>
      </c>
      <c r="C168" t="s">
        <v>106</v>
      </c>
      <c r="H168" s="1">
        <v>10698.900000000001</v>
      </c>
      <c r="I168" s="1">
        <v>486.27</v>
      </c>
      <c r="J168" s="1"/>
      <c r="L168" s="8">
        <v>89</v>
      </c>
      <c r="M168" s="16" t="s">
        <v>223</v>
      </c>
      <c r="N168" t="s">
        <v>181</v>
      </c>
      <c r="O168" t="s">
        <v>16</v>
      </c>
      <c r="R168" s="3">
        <v>1</v>
      </c>
      <c r="S168" t="s">
        <v>18</v>
      </c>
      <c r="T168" s="2">
        <v>412644.76</v>
      </c>
    </row>
    <row r="169" spans="1:20" hidden="1" x14ac:dyDescent="0.35">
      <c r="A169" s="20">
        <v>46019</v>
      </c>
      <c r="B169">
        <v>8137342287</v>
      </c>
      <c r="C169" t="s">
        <v>127</v>
      </c>
      <c r="H169" s="1">
        <v>5679.3</v>
      </c>
      <c r="I169" s="1">
        <v>258</v>
      </c>
      <c r="J169" s="1"/>
      <c r="L169" s="8">
        <v>89</v>
      </c>
      <c r="M169" s="17">
        <v>792031909655</v>
      </c>
      <c r="N169" t="s">
        <v>181</v>
      </c>
      <c r="O169" t="s">
        <v>16</v>
      </c>
      <c r="R169" s="3">
        <v>1</v>
      </c>
      <c r="S169" t="s">
        <v>18</v>
      </c>
      <c r="T169" s="2">
        <v>412644.76</v>
      </c>
    </row>
    <row r="170" spans="1:20" hidden="1" x14ac:dyDescent="0.35">
      <c r="A170" s="20">
        <v>46019</v>
      </c>
      <c r="B170">
        <v>8137342329</v>
      </c>
      <c r="C170" t="s">
        <v>56</v>
      </c>
      <c r="H170" s="1">
        <v>2260.5</v>
      </c>
      <c r="I170" s="1">
        <v>102.75</v>
      </c>
      <c r="J170" s="1"/>
      <c r="L170" s="8">
        <v>89</v>
      </c>
      <c r="M170" s="17">
        <v>775750397906</v>
      </c>
      <c r="N170" t="s">
        <v>181</v>
      </c>
      <c r="O170" t="s">
        <v>16</v>
      </c>
      <c r="R170" s="3">
        <v>1</v>
      </c>
      <c r="S170" t="s">
        <v>18</v>
      </c>
      <c r="T170" s="2">
        <v>412644.76</v>
      </c>
    </row>
    <row r="171" spans="1:20" hidden="1" x14ac:dyDescent="0.35">
      <c r="A171" s="20">
        <v>46019</v>
      </c>
      <c r="B171">
        <v>8137342330</v>
      </c>
      <c r="C171" t="s">
        <v>57</v>
      </c>
      <c r="H171" s="1">
        <v>3734.5</v>
      </c>
      <c r="I171" s="1">
        <v>169.75</v>
      </c>
      <c r="J171" s="1"/>
      <c r="L171" s="8">
        <v>89</v>
      </c>
      <c r="M171" s="17">
        <v>732716135862</v>
      </c>
      <c r="N171" t="s">
        <v>181</v>
      </c>
      <c r="O171" t="s">
        <v>16</v>
      </c>
      <c r="R171" s="3">
        <v>1</v>
      </c>
      <c r="S171" t="s">
        <v>18</v>
      </c>
      <c r="T171" s="2">
        <v>412644.76</v>
      </c>
    </row>
    <row r="172" spans="1:20" hidden="1" x14ac:dyDescent="0.35">
      <c r="A172" s="20">
        <v>46019</v>
      </c>
      <c r="B172">
        <v>8137342360</v>
      </c>
      <c r="C172" t="s">
        <v>87</v>
      </c>
      <c r="H172" s="1">
        <v>20125</v>
      </c>
      <c r="I172" s="1">
        <v>875</v>
      </c>
      <c r="J172" s="1"/>
      <c r="L172" s="8">
        <v>89</v>
      </c>
      <c r="M172" s="16" t="s">
        <v>216</v>
      </c>
      <c r="N172" t="s">
        <v>181</v>
      </c>
      <c r="O172" t="s">
        <v>16</v>
      </c>
      <c r="R172" s="3">
        <v>1</v>
      </c>
      <c r="S172" t="s">
        <v>18</v>
      </c>
      <c r="T172" s="2">
        <v>412644.76</v>
      </c>
    </row>
    <row r="173" spans="1:20" hidden="1" x14ac:dyDescent="0.35">
      <c r="A173" s="20">
        <v>46020</v>
      </c>
      <c r="B173">
        <v>8137342913</v>
      </c>
      <c r="C173" t="s">
        <v>169</v>
      </c>
      <c r="H173" s="1">
        <v>333500</v>
      </c>
      <c r="I173" s="1">
        <v>14500</v>
      </c>
      <c r="J173" s="1"/>
      <c r="L173" s="8">
        <v>89</v>
      </c>
      <c r="M173" s="16" t="s">
        <v>251</v>
      </c>
      <c r="N173" t="s">
        <v>181</v>
      </c>
      <c r="O173" t="s">
        <v>16</v>
      </c>
      <c r="R173" s="3">
        <v>1</v>
      </c>
      <c r="S173" t="s">
        <v>18</v>
      </c>
      <c r="T173" s="2">
        <v>412644.76</v>
      </c>
    </row>
    <row r="174" spans="1:20" hidden="1" x14ac:dyDescent="0.35">
      <c r="A174" s="20">
        <v>46020</v>
      </c>
      <c r="B174">
        <v>8137342914</v>
      </c>
      <c r="C174" t="s">
        <v>170</v>
      </c>
      <c r="H174" s="1">
        <v>140070</v>
      </c>
      <c r="I174" s="1">
        <v>6090</v>
      </c>
      <c r="J174" s="1"/>
      <c r="L174" s="8">
        <v>89</v>
      </c>
      <c r="M174" s="16" t="s">
        <v>252</v>
      </c>
      <c r="N174" t="s">
        <v>181</v>
      </c>
      <c r="O174" t="s">
        <v>16</v>
      </c>
      <c r="R174" s="3">
        <v>1</v>
      </c>
      <c r="S174" t="s">
        <v>18</v>
      </c>
      <c r="T174" s="2">
        <v>412644.76</v>
      </c>
    </row>
    <row r="175" spans="1:20" hidden="1" x14ac:dyDescent="0.35">
      <c r="A175" s="20">
        <v>46020</v>
      </c>
      <c r="B175">
        <v>8137343321</v>
      </c>
      <c r="C175" t="s">
        <v>150</v>
      </c>
      <c r="H175" s="1">
        <v>14850</v>
      </c>
      <c r="I175" s="1">
        <v>675</v>
      </c>
      <c r="J175" s="1"/>
      <c r="L175" s="8">
        <v>89</v>
      </c>
      <c r="M175" s="17">
        <v>255108966530</v>
      </c>
      <c r="N175" t="s">
        <v>181</v>
      </c>
      <c r="O175" t="s">
        <v>16</v>
      </c>
      <c r="R175" s="3">
        <v>1</v>
      </c>
      <c r="S175" t="s">
        <v>18</v>
      </c>
      <c r="T175" s="2">
        <v>412644.76</v>
      </c>
    </row>
    <row r="176" spans="1:20" hidden="1" x14ac:dyDescent="0.35">
      <c r="A176" s="20">
        <v>46020</v>
      </c>
      <c r="B176">
        <v>8137343340</v>
      </c>
      <c r="C176" t="s">
        <v>76</v>
      </c>
      <c r="H176" s="1">
        <v>128919</v>
      </c>
      <c r="I176" s="1">
        <v>5604</v>
      </c>
      <c r="J176" s="1"/>
      <c r="L176" s="8">
        <v>89</v>
      </c>
      <c r="M176" s="16" t="s">
        <v>210</v>
      </c>
      <c r="N176" t="s">
        <v>181</v>
      </c>
      <c r="O176" t="s">
        <v>16</v>
      </c>
      <c r="R176" s="3">
        <v>1</v>
      </c>
      <c r="S176" t="s">
        <v>18</v>
      </c>
      <c r="T176" s="2">
        <v>412644.76</v>
      </c>
    </row>
    <row r="177" spans="1:20" hidden="1" x14ac:dyDescent="0.35">
      <c r="A177" s="20">
        <v>46020</v>
      </c>
      <c r="B177">
        <v>8137343404</v>
      </c>
      <c r="C177" t="s">
        <v>48</v>
      </c>
      <c r="H177" s="1">
        <v>20579.25</v>
      </c>
      <c r="I177" s="1">
        <v>895</v>
      </c>
      <c r="J177" s="1"/>
      <c r="L177" s="8">
        <v>89</v>
      </c>
      <c r="M177" s="16" t="s">
        <v>198</v>
      </c>
      <c r="N177" t="s">
        <v>181</v>
      </c>
      <c r="O177" t="s">
        <v>16</v>
      </c>
      <c r="R177" s="3">
        <v>1</v>
      </c>
      <c r="S177" t="s">
        <v>18</v>
      </c>
      <c r="T177" s="2">
        <v>412644.76</v>
      </c>
    </row>
    <row r="178" spans="1:20" hidden="1" x14ac:dyDescent="0.35">
      <c r="A178" s="20">
        <v>46020</v>
      </c>
      <c r="B178">
        <v>8137343407</v>
      </c>
      <c r="C178" t="s">
        <v>25</v>
      </c>
      <c r="H178" s="1">
        <v>3450</v>
      </c>
      <c r="I178" s="1">
        <v>150</v>
      </c>
      <c r="J178" s="1"/>
      <c r="L178" s="8">
        <v>89</v>
      </c>
      <c r="M178" s="16" t="s">
        <v>185</v>
      </c>
      <c r="N178" t="s">
        <v>181</v>
      </c>
      <c r="O178" t="s">
        <v>16</v>
      </c>
      <c r="R178" s="3">
        <v>1</v>
      </c>
      <c r="S178" t="s">
        <v>18</v>
      </c>
      <c r="T178" s="2">
        <v>412644.76</v>
      </c>
    </row>
    <row r="179" spans="1:20" hidden="1" x14ac:dyDescent="0.35">
      <c r="A179" s="20">
        <v>46020</v>
      </c>
      <c r="B179">
        <v>8137343412</v>
      </c>
      <c r="C179" t="s">
        <v>23</v>
      </c>
      <c r="H179" s="1">
        <v>22770</v>
      </c>
      <c r="I179" s="1">
        <v>990</v>
      </c>
      <c r="J179" s="1"/>
      <c r="L179" s="8">
        <v>89</v>
      </c>
      <c r="M179" s="16" t="s">
        <v>183</v>
      </c>
      <c r="N179" t="s">
        <v>181</v>
      </c>
      <c r="O179" t="s">
        <v>16</v>
      </c>
      <c r="R179" s="3">
        <v>1</v>
      </c>
      <c r="S179" t="s">
        <v>18</v>
      </c>
      <c r="T179" s="2">
        <v>412644.76</v>
      </c>
    </row>
    <row r="180" spans="1:20" hidden="1" x14ac:dyDescent="0.35">
      <c r="A180" s="20">
        <v>46020</v>
      </c>
      <c r="B180">
        <v>8137343519</v>
      </c>
      <c r="C180" t="s">
        <v>174</v>
      </c>
      <c r="H180" s="1">
        <v>81275</v>
      </c>
      <c r="I180" s="1">
        <v>3275</v>
      </c>
      <c r="J180" s="1"/>
      <c r="L180" s="8">
        <v>89</v>
      </c>
      <c r="M180" s="16" t="s">
        <v>253</v>
      </c>
      <c r="N180" t="s">
        <v>181</v>
      </c>
      <c r="O180" t="s">
        <v>16</v>
      </c>
      <c r="R180" s="3">
        <v>1</v>
      </c>
      <c r="S180" t="s">
        <v>18</v>
      </c>
      <c r="T180" s="2">
        <v>412644.76</v>
      </c>
    </row>
    <row r="181" spans="1:20" hidden="1" x14ac:dyDescent="0.35">
      <c r="A181" s="20">
        <v>46020</v>
      </c>
      <c r="B181">
        <v>8137343544</v>
      </c>
      <c r="C181" t="s">
        <v>33</v>
      </c>
      <c r="H181" s="1">
        <v>8740</v>
      </c>
      <c r="I181" s="1">
        <v>380</v>
      </c>
      <c r="J181" s="1"/>
      <c r="L181" s="8">
        <v>89</v>
      </c>
      <c r="M181" s="16" t="s">
        <v>189</v>
      </c>
      <c r="N181" t="s">
        <v>181</v>
      </c>
      <c r="O181" t="s">
        <v>16</v>
      </c>
      <c r="R181" s="3">
        <v>1</v>
      </c>
      <c r="S181" t="s">
        <v>18</v>
      </c>
      <c r="T181" s="2">
        <v>412644.76</v>
      </c>
    </row>
    <row r="182" spans="1:20" hidden="1" x14ac:dyDescent="0.35">
      <c r="A182" s="20">
        <v>46021</v>
      </c>
      <c r="B182">
        <v>8137343742</v>
      </c>
      <c r="C182" t="s">
        <v>94</v>
      </c>
      <c r="H182" s="1">
        <v>15698</v>
      </c>
      <c r="I182" s="1">
        <v>682</v>
      </c>
      <c r="J182" s="1"/>
      <c r="L182" s="8">
        <v>89</v>
      </c>
      <c r="M182" s="16" t="s">
        <v>219</v>
      </c>
      <c r="N182" t="s">
        <v>181</v>
      </c>
      <c r="O182" t="s">
        <v>16</v>
      </c>
      <c r="R182" s="3">
        <v>1</v>
      </c>
      <c r="S182" t="s">
        <v>18</v>
      </c>
      <c r="T182" s="2">
        <v>412644.76</v>
      </c>
    </row>
    <row r="183" spans="1:20" hidden="1" x14ac:dyDescent="0.35">
      <c r="A183" s="20">
        <v>46021</v>
      </c>
      <c r="B183">
        <v>8137343764</v>
      </c>
      <c r="C183" t="s">
        <v>176</v>
      </c>
      <c r="H183" s="1">
        <v>59315.85</v>
      </c>
      <c r="I183" s="1">
        <v>2579</v>
      </c>
      <c r="J183" s="1"/>
      <c r="L183" s="8">
        <v>89</v>
      </c>
      <c r="M183" s="17">
        <v>763017654127</v>
      </c>
      <c r="N183" t="s">
        <v>181</v>
      </c>
      <c r="O183" t="s">
        <v>16</v>
      </c>
      <c r="R183" s="3">
        <v>1</v>
      </c>
      <c r="S183" t="s">
        <v>18</v>
      </c>
      <c r="T183" s="2">
        <v>412644.76</v>
      </c>
    </row>
    <row r="184" spans="1:20" hidden="1" x14ac:dyDescent="0.35">
      <c r="A184" s="20">
        <v>46021</v>
      </c>
      <c r="B184">
        <v>8137343771</v>
      </c>
      <c r="C184" t="s">
        <v>69</v>
      </c>
      <c r="H184" s="1">
        <v>165600</v>
      </c>
      <c r="I184" s="1">
        <v>7200</v>
      </c>
      <c r="J184" s="1"/>
      <c r="L184" s="8">
        <v>89</v>
      </c>
      <c r="M184" s="17">
        <v>231717197201</v>
      </c>
      <c r="N184" t="s">
        <v>181</v>
      </c>
      <c r="O184" t="s">
        <v>16</v>
      </c>
      <c r="R184" s="3">
        <v>1</v>
      </c>
      <c r="S184" t="s">
        <v>18</v>
      </c>
      <c r="T184" s="2">
        <v>412644.76</v>
      </c>
    </row>
    <row r="185" spans="1:20" hidden="1" x14ac:dyDescent="0.35">
      <c r="A185" s="20">
        <v>46021</v>
      </c>
      <c r="B185">
        <v>8137343772</v>
      </c>
      <c r="C185" t="s">
        <v>177</v>
      </c>
      <c r="H185" s="1">
        <v>113304.9</v>
      </c>
      <c r="I185" s="1">
        <v>4926</v>
      </c>
      <c r="J185" s="1"/>
      <c r="L185" s="8">
        <v>89</v>
      </c>
      <c r="M185" s="17">
        <v>584948803435</v>
      </c>
      <c r="N185" t="s">
        <v>181</v>
      </c>
      <c r="O185" t="s">
        <v>16</v>
      </c>
      <c r="R185" s="3">
        <v>1</v>
      </c>
      <c r="S185" t="s">
        <v>18</v>
      </c>
      <c r="T185" s="2">
        <v>412644.76</v>
      </c>
    </row>
    <row r="186" spans="1:20" hidden="1" x14ac:dyDescent="0.35">
      <c r="A186" s="20">
        <v>46021</v>
      </c>
      <c r="B186">
        <v>8137343774</v>
      </c>
      <c r="C186" t="s">
        <v>43</v>
      </c>
      <c r="H186" s="1">
        <v>237303.65</v>
      </c>
      <c r="I186" s="1">
        <v>10318</v>
      </c>
      <c r="J186" s="1"/>
      <c r="L186" s="8">
        <v>89</v>
      </c>
      <c r="M186" s="17">
        <v>729686243862</v>
      </c>
      <c r="N186" t="s">
        <v>181</v>
      </c>
      <c r="O186" t="s">
        <v>16</v>
      </c>
      <c r="R186" s="3">
        <v>1</v>
      </c>
      <c r="S186" t="s">
        <v>18</v>
      </c>
      <c r="T186" s="2">
        <v>412644.76</v>
      </c>
    </row>
    <row r="187" spans="1:20" hidden="1" x14ac:dyDescent="0.35">
      <c r="A187" s="20">
        <v>46021</v>
      </c>
      <c r="B187">
        <v>8137343777</v>
      </c>
      <c r="C187" t="s">
        <v>179</v>
      </c>
      <c r="H187" s="1">
        <v>167239.9</v>
      </c>
      <c r="I187" s="1">
        <v>7271</v>
      </c>
      <c r="J187" s="1"/>
      <c r="L187" s="8">
        <v>89</v>
      </c>
      <c r="M187" s="16" t="s">
        <v>254</v>
      </c>
      <c r="N187" t="s">
        <v>181</v>
      </c>
      <c r="O187" t="s">
        <v>16</v>
      </c>
      <c r="R187" s="3">
        <v>1</v>
      </c>
      <c r="S187" t="s">
        <v>18</v>
      </c>
      <c r="T187" s="2">
        <v>412644.76</v>
      </c>
    </row>
    <row r="188" spans="1:20" hidden="1" x14ac:dyDescent="0.35">
      <c r="A188" s="20">
        <v>46021</v>
      </c>
      <c r="B188">
        <v>8137343828</v>
      </c>
      <c r="C188" t="s">
        <v>23</v>
      </c>
      <c r="H188" s="1">
        <v>6348</v>
      </c>
      <c r="I188" s="1">
        <v>426</v>
      </c>
      <c r="J188" s="1"/>
      <c r="L188" s="8">
        <v>89</v>
      </c>
      <c r="M188" s="16" t="s">
        <v>183</v>
      </c>
      <c r="N188" t="s">
        <v>181</v>
      </c>
      <c r="O188" t="s">
        <v>16</v>
      </c>
      <c r="R188" s="3">
        <v>1</v>
      </c>
      <c r="S188" t="s">
        <v>18</v>
      </c>
      <c r="T188" s="2">
        <v>412644.76</v>
      </c>
    </row>
    <row r="189" spans="1:20" hidden="1" x14ac:dyDescent="0.35">
      <c r="A189" s="20">
        <v>46021</v>
      </c>
      <c r="B189">
        <v>8137343883</v>
      </c>
      <c r="C189" t="s">
        <v>180</v>
      </c>
      <c r="H189" s="1">
        <v>35828</v>
      </c>
      <c r="I189" s="1">
        <v>1558</v>
      </c>
      <c r="J189" s="1"/>
      <c r="L189" s="8">
        <v>89</v>
      </c>
      <c r="M189" s="16" t="s">
        <v>219</v>
      </c>
      <c r="N189" t="s">
        <v>181</v>
      </c>
      <c r="O189" t="s">
        <v>16</v>
      </c>
      <c r="R189" s="3">
        <v>1</v>
      </c>
      <c r="S189" t="s">
        <v>18</v>
      </c>
      <c r="T189" s="2">
        <v>412644.76</v>
      </c>
    </row>
    <row r="190" spans="1:20" hidden="1" x14ac:dyDescent="0.35">
      <c r="A190" s="20">
        <v>45992</v>
      </c>
      <c r="B190">
        <v>8137320476</v>
      </c>
      <c r="C190" t="s">
        <v>27</v>
      </c>
      <c r="H190" s="1">
        <v>167900</v>
      </c>
      <c r="I190" s="1">
        <v>7300</v>
      </c>
      <c r="J190" s="1"/>
      <c r="L190" s="8">
        <v>89</v>
      </c>
      <c r="M190" s="16" t="s">
        <v>255</v>
      </c>
      <c r="N190" t="s">
        <v>307</v>
      </c>
      <c r="O190" t="s">
        <v>16</v>
      </c>
      <c r="R190" s="3">
        <v>2</v>
      </c>
      <c r="S190" t="s">
        <v>18</v>
      </c>
      <c r="T190" s="2">
        <v>434416.47000000009</v>
      </c>
    </row>
    <row r="191" spans="1:20" hidden="1" x14ac:dyDescent="0.35">
      <c r="A191" s="20">
        <v>45992</v>
      </c>
      <c r="B191">
        <v>8137320562</v>
      </c>
      <c r="C191" t="s">
        <v>28</v>
      </c>
      <c r="H191" s="1">
        <v>33000</v>
      </c>
      <c r="I191" s="1">
        <v>1500</v>
      </c>
      <c r="J191" s="1"/>
      <c r="L191" s="8">
        <v>89</v>
      </c>
      <c r="M191" s="16" t="s">
        <v>256</v>
      </c>
      <c r="N191" t="s">
        <v>307</v>
      </c>
      <c r="O191" t="s">
        <v>16</v>
      </c>
      <c r="R191" s="3">
        <v>2</v>
      </c>
      <c r="S191" t="s">
        <v>18</v>
      </c>
      <c r="T191" s="2">
        <v>434416.47000000009</v>
      </c>
    </row>
    <row r="192" spans="1:20" hidden="1" x14ac:dyDescent="0.35">
      <c r="A192" s="20">
        <v>45992</v>
      </c>
      <c r="B192">
        <v>8137320598</v>
      </c>
      <c r="C192" t="s">
        <v>30</v>
      </c>
      <c r="H192" s="1">
        <v>16391</v>
      </c>
      <c r="I192" s="1">
        <v>82</v>
      </c>
      <c r="J192" s="1"/>
      <c r="L192" s="8">
        <v>89</v>
      </c>
      <c r="M192" s="16" t="s">
        <v>257</v>
      </c>
      <c r="N192" t="s">
        <v>307</v>
      </c>
      <c r="O192" t="s">
        <v>16</v>
      </c>
      <c r="R192" s="3">
        <v>2</v>
      </c>
      <c r="S192" t="s">
        <v>18</v>
      </c>
      <c r="T192" s="2">
        <v>434416.47000000009</v>
      </c>
    </row>
    <row r="193" spans="1:20" hidden="1" x14ac:dyDescent="0.35">
      <c r="A193" s="20">
        <v>45992</v>
      </c>
      <c r="B193">
        <v>8137320605</v>
      </c>
      <c r="C193" t="s">
        <v>32</v>
      </c>
      <c r="H193" s="1">
        <v>5446.4</v>
      </c>
      <c r="I193" s="1">
        <v>237</v>
      </c>
      <c r="J193" s="1"/>
      <c r="L193" s="8">
        <v>89</v>
      </c>
      <c r="M193" s="16" t="s">
        <v>258</v>
      </c>
      <c r="N193" t="s">
        <v>307</v>
      </c>
      <c r="O193" t="s">
        <v>16</v>
      </c>
      <c r="R193" s="3">
        <v>2</v>
      </c>
      <c r="S193" t="s">
        <v>18</v>
      </c>
      <c r="T193" s="2">
        <v>434416.47000000009</v>
      </c>
    </row>
    <row r="194" spans="1:20" hidden="1" x14ac:dyDescent="0.35">
      <c r="A194" s="20">
        <v>45992</v>
      </c>
      <c r="B194">
        <v>8137320623</v>
      </c>
      <c r="C194" t="s">
        <v>35</v>
      </c>
      <c r="H194" s="1">
        <v>51750</v>
      </c>
      <c r="I194" s="1">
        <v>2250</v>
      </c>
      <c r="J194" s="1"/>
      <c r="L194" s="8">
        <v>89</v>
      </c>
      <c r="M194" s="16" t="s">
        <v>259</v>
      </c>
      <c r="N194" t="s">
        <v>307</v>
      </c>
      <c r="O194" t="s">
        <v>16</v>
      </c>
      <c r="R194" s="3">
        <v>2</v>
      </c>
      <c r="S194" t="s">
        <v>18</v>
      </c>
      <c r="T194" s="2">
        <v>434416.47000000009</v>
      </c>
    </row>
    <row r="195" spans="1:20" hidden="1" x14ac:dyDescent="0.35">
      <c r="A195" s="20">
        <v>45992</v>
      </c>
      <c r="B195">
        <v>8137320624</v>
      </c>
      <c r="C195" t="s">
        <v>36</v>
      </c>
      <c r="H195" s="1">
        <v>91814.85</v>
      </c>
      <c r="I195" s="1">
        <v>3992</v>
      </c>
      <c r="J195" s="1"/>
      <c r="L195" s="8">
        <v>89</v>
      </c>
      <c r="M195" s="16" t="s">
        <v>260</v>
      </c>
      <c r="N195" t="s">
        <v>307</v>
      </c>
      <c r="O195" t="s">
        <v>16</v>
      </c>
      <c r="R195" s="3">
        <v>2</v>
      </c>
      <c r="S195" t="s">
        <v>18</v>
      </c>
      <c r="T195" s="2">
        <v>434416.47000000009</v>
      </c>
    </row>
    <row r="196" spans="1:20" hidden="1" x14ac:dyDescent="0.35">
      <c r="A196" s="20">
        <v>45992</v>
      </c>
      <c r="B196">
        <v>8137320647</v>
      </c>
      <c r="C196" t="s">
        <v>40</v>
      </c>
      <c r="H196" s="1">
        <v>51750</v>
      </c>
      <c r="I196" s="1">
        <v>2250</v>
      </c>
      <c r="J196" s="1"/>
      <c r="L196" s="8">
        <v>89</v>
      </c>
      <c r="M196" s="17">
        <v>189741853542</v>
      </c>
      <c r="N196" t="s">
        <v>307</v>
      </c>
      <c r="O196" t="s">
        <v>16</v>
      </c>
      <c r="R196" s="3">
        <v>2</v>
      </c>
      <c r="S196" t="s">
        <v>18</v>
      </c>
      <c r="T196" s="2">
        <v>434416.47000000009</v>
      </c>
    </row>
    <row r="197" spans="1:20" hidden="1" x14ac:dyDescent="0.35">
      <c r="A197" s="20">
        <v>45992</v>
      </c>
      <c r="B197">
        <v>8137320803</v>
      </c>
      <c r="C197" t="s">
        <v>49</v>
      </c>
      <c r="H197" s="1">
        <v>23242.11</v>
      </c>
      <c r="I197" s="1">
        <v>1010.53</v>
      </c>
      <c r="J197" s="1"/>
      <c r="L197" s="8">
        <v>89</v>
      </c>
      <c r="M197" s="16" t="s">
        <v>261</v>
      </c>
      <c r="N197" t="s">
        <v>307</v>
      </c>
      <c r="O197" t="s">
        <v>16</v>
      </c>
      <c r="R197" s="3">
        <v>2</v>
      </c>
      <c r="S197" t="s">
        <v>18</v>
      </c>
      <c r="T197" s="2">
        <v>434416.47000000009</v>
      </c>
    </row>
    <row r="198" spans="1:20" hidden="1" x14ac:dyDescent="0.35">
      <c r="A198" s="20">
        <v>45992</v>
      </c>
      <c r="B198">
        <v>8137321121</v>
      </c>
      <c r="C198" t="s">
        <v>52</v>
      </c>
      <c r="H198" s="1">
        <v>46000</v>
      </c>
      <c r="I198" s="1">
        <v>2000</v>
      </c>
      <c r="J198" s="1"/>
      <c r="L198" s="8">
        <v>89</v>
      </c>
      <c r="M198" s="17" t="s">
        <v>262</v>
      </c>
      <c r="N198" t="s">
        <v>307</v>
      </c>
      <c r="O198" t="s">
        <v>16</v>
      </c>
      <c r="R198" s="3">
        <v>2</v>
      </c>
      <c r="S198" t="s">
        <v>18</v>
      </c>
      <c r="T198" s="2">
        <v>434416.47000000009</v>
      </c>
    </row>
    <row r="199" spans="1:20" hidden="1" x14ac:dyDescent="0.35">
      <c r="A199" s="20">
        <v>45992</v>
      </c>
      <c r="B199">
        <v>8137321142</v>
      </c>
      <c r="C199" t="s">
        <v>55</v>
      </c>
      <c r="H199" s="1">
        <v>9288</v>
      </c>
      <c r="I199" s="1">
        <v>46</v>
      </c>
      <c r="J199" s="1"/>
      <c r="L199" s="8">
        <v>89</v>
      </c>
      <c r="M199" s="17">
        <v>138284678178</v>
      </c>
      <c r="N199" t="s">
        <v>307</v>
      </c>
      <c r="O199" t="s">
        <v>16</v>
      </c>
      <c r="R199" s="3">
        <v>2</v>
      </c>
      <c r="S199" t="s">
        <v>18</v>
      </c>
      <c r="T199" s="2">
        <v>434416.47000000009</v>
      </c>
    </row>
    <row r="200" spans="1:20" hidden="1" x14ac:dyDescent="0.35">
      <c r="A200" s="20">
        <v>45992</v>
      </c>
      <c r="B200">
        <v>8137321298</v>
      </c>
      <c r="C200" t="s">
        <v>55</v>
      </c>
      <c r="H200" s="1">
        <v>43242.75</v>
      </c>
      <c r="I200" s="1">
        <v>1965.59</v>
      </c>
      <c r="J200" s="1"/>
      <c r="L200" s="8">
        <v>89</v>
      </c>
      <c r="M200" s="17">
        <v>138284678178</v>
      </c>
      <c r="N200" t="s">
        <v>307</v>
      </c>
      <c r="O200" t="s">
        <v>16</v>
      </c>
      <c r="R200" s="3">
        <v>2</v>
      </c>
      <c r="S200" t="s">
        <v>18</v>
      </c>
      <c r="T200" s="2">
        <v>434416.47000000009</v>
      </c>
    </row>
    <row r="201" spans="1:20" hidden="1" x14ac:dyDescent="0.35">
      <c r="A201" s="20">
        <v>45992</v>
      </c>
      <c r="B201">
        <v>8137321310</v>
      </c>
      <c r="C201" t="s">
        <v>58</v>
      </c>
      <c r="H201" s="1">
        <v>1958</v>
      </c>
      <c r="I201" s="1">
        <v>89</v>
      </c>
      <c r="J201" s="1"/>
      <c r="L201" s="8">
        <v>89</v>
      </c>
      <c r="M201" s="17" t="s">
        <v>263</v>
      </c>
      <c r="N201" t="s">
        <v>307</v>
      </c>
      <c r="O201" t="s">
        <v>16</v>
      </c>
      <c r="R201" s="3">
        <v>2</v>
      </c>
      <c r="S201" t="s">
        <v>18</v>
      </c>
      <c r="T201" s="2">
        <v>434416.47000000009</v>
      </c>
    </row>
    <row r="202" spans="1:20" hidden="1" x14ac:dyDescent="0.35">
      <c r="A202" s="20">
        <v>45992</v>
      </c>
      <c r="B202">
        <v>8137321386</v>
      </c>
      <c r="C202" t="s">
        <v>59</v>
      </c>
      <c r="H202" s="1">
        <v>3554</v>
      </c>
      <c r="I202" s="1">
        <v>154</v>
      </c>
      <c r="J202" s="1"/>
      <c r="L202" s="8">
        <v>89</v>
      </c>
      <c r="M202" s="17" t="s">
        <v>264</v>
      </c>
      <c r="N202" t="s">
        <v>307</v>
      </c>
      <c r="O202" t="s">
        <v>16</v>
      </c>
      <c r="R202" s="3">
        <v>2</v>
      </c>
      <c r="S202" t="s">
        <v>18</v>
      </c>
      <c r="T202" s="2">
        <v>434416.47000000009</v>
      </c>
    </row>
    <row r="203" spans="1:20" hidden="1" x14ac:dyDescent="0.35">
      <c r="A203" s="20">
        <v>45993</v>
      </c>
      <c r="B203">
        <v>8137321865</v>
      </c>
      <c r="C203" t="s">
        <v>60</v>
      </c>
      <c r="H203" s="1">
        <v>1082.6500000000003</v>
      </c>
      <c r="I203" s="1">
        <v>49.22</v>
      </c>
      <c r="J203" s="1"/>
      <c r="L203" s="8">
        <v>89</v>
      </c>
      <c r="M203" s="16" t="s">
        <v>265</v>
      </c>
      <c r="N203" t="s">
        <v>307</v>
      </c>
      <c r="O203" t="s">
        <v>16</v>
      </c>
      <c r="R203" s="3">
        <v>2</v>
      </c>
      <c r="S203" t="s">
        <v>18</v>
      </c>
      <c r="T203" s="2">
        <v>434416.47000000009</v>
      </c>
    </row>
    <row r="204" spans="1:20" hidden="1" x14ac:dyDescent="0.35">
      <c r="A204" s="20">
        <v>45993</v>
      </c>
      <c r="B204">
        <v>8137321880</v>
      </c>
      <c r="C204" t="s">
        <v>61</v>
      </c>
      <c r="H204" s="1">
        <v>7908.83</v>
      </c>
      <c r="I204" s="1">
        <v>359.19</v>
      </c>
      <c r="J204" s="1"/>
      <c r="L204" s="8">
        <v>89</v>
      </c>
      <c r="M204" s="16" t="s">
        <v>266</v>
      </c>
      <c r="N204" t="s">
        <v>307</v>
      </c>
      <c r="O204" t="s">
        <v>16</v>
      </c>
      <c r="R204" s="3">
        <v>2</v>
      </c>
      <c r="S204" t="s">
        <v>18</v>
      </c>
      <c r="T204" s="2">
        <v>434416.47000000009</v>
      </c>
    </row>
    <row r="205" spans="1:20" hidden="1" x14ac:dyDescent="0.35">
      <c r="A205" s="20">
        <v>45994</v>
      </c>
      <c r="B205">
        <v>8137322167</v>
      </c>
      <c r="C205" t="s">
        <v>64</v>
      </c>
      <c r="H205" s="1">
        <v>28750</v>
      </c>
      <c r="I205" s="1">
        <v>1250</v>
      </c>
      <c r="J205" s="1"/>
      <c r="L205" s="8">
        <v>89</v>
      </c>
      <c r="M205" s="16" t="s">
        <v>267</v>
      </c>
      <c r="N205" t="s">
        <v>307</v>
      </c>
      <c r="O205" t="s">
        <v>16</v>
      </c>
      <c r="R205" s="3">
        <v>2</v>
      </c>
      <c r="S205" t="s">
        <v>18</v>
      </c>
      <c r="T205" s="2">
        <v>434416.47000000009</v>
      </c>
    </row>
    <row r="206" spans="1:20" hidden="1" x14ac:dyDescent="0.35">
      <c r="A206" s="20">
        <v>45994</v>
      </c>
      <c r="B206">
        <v>8137322259</v>
      </c>
      <c r="C206" t="s">
        <v>65</v>
      </c>
      <c r="H206" s="1">
        <v>18218</v>
      </c>
      <c r="I206" s="15">
        <v>792.09</v>
      </c>
      <c r="J206" s="1"/>
      <c r="L206" s="8">
        <v>89</v>
      </c>
      <c r="M206" s="16" t="s">
        <v>268</v>
      </c>
      <c r="N206" t="s">
        <v>307</v>
      </c>
      <c r="O206" t="s">
        <v>16</v>
      </c>
      <c r="R206" s="3">
        <v>2</v>
      </c>
      <c r="S206" t="s">
        <v>18</v>
      </c>
      <c r="T206" s="2">
        <v>434416.47000000009</v>
      </c>
    </row>
    <row r="207" spans="1:20" hidden="1" x14ac:dyDescent="0.35">
      <c r="A207" s="20">
        <v>45994</v>
      </c>
      <c r="B207">
        <v>8137322342</v>
      </c>
      <c r="C207" t="s">
        <v>30</v>
      </c>
      <c r="H207" s="1">
        <v>12165</v>
      </c>
      <c r="I207" s="1">
        <v>61</v>
      </c>
      <c r="J207" s="1"/>
      <c r="L207" s="8">
        <v>89</v>
      </c>
      <c r="M207" s="16" t="s">
        <v>257</v>
      </c>
      <c r="N207" t="s">
        <v>307</v>
      </c>
      <c r="O207" t="s">
        <v>16</v>
      </c>
      <c r="R207" s="3">
        <v>2</v>
      </c>
      <c r="S207" t="s">
        <v>18</v>
      </c>
      <c r="T207" s="2">
        <v>434416.47000000009</v>
      </c>
    </row>
    <row r="208" spans="1:20" hidden="1" x14ac:dyDescent="0.35">
      <c r="A208" s="20">
        <v>45994</v>
      </c>
      <c r="B208">
        <v>8137322380</v>
      </c>
      <c r="C208" t="s">
        <v>70</v>
      </c>
      <c r="H208" s="1">
        <v>366045</v>
      </c>
      <c r="I208" s="1">
        <v>15915</v>
      </c>
      <c r="J208" s="1"/>
      <c r="L208" s="8">
        <v>89</v>
      </c>
      <c r="M208" s="17" t="s">
        <v>269</v>
      </c>
      <c r="N208" t="s">
        <v>307</v>
      </c>
      <c r="O208" t="s">
        <v>16</v>
      </c>
      <c r="R208" s="3">
        <v>2</v>
      </c>
      <c r="S208" t="s">
        <v>18</v>
      </c>
      <c r="T208" s="2">
        <v>434416.47000000009</v>
      </c>
    </row>
    <row r="209" spans="1:20" hidden="1" x14ac:dyDescent="0.35">
      <c r="A209" s="20">
        <v>45994</v>
      </c>
      <c r="B209">
        <v>8137322383</v>
      </c>
      <c r="C209" t="s">
        <v>71</v>
      </c>
      <c r="H209" s="1">
        <v>41055</v>
      </c>
      <c r="I209" s="1">
        <v>1785</v>
      </c>
      <c r="J209" s="1"/>
      <c r="L209" s="8">
        <v>89</v>
      </c>
      <c r="M209" s="17" t="s">
        <v>270</v>
      </c>
      <c r="N209" t="s">
        <v>307</v>
      </c>
      <c r="O209" t="s">
        <v>16</v>
      </c>
      <c r="R209" s="3">
        <v>2</v>
      </c>
      <c r="S209" t="s">
        <v>18</v>
      </c>
      <c r="T209" s="2">
        <v>434416.47000000009</v>
      </c>
    </row>
    <row r="210" spans="1:20" hidden="1" x14ac:dyDescent="0.35">
      <c r="A210" s="20">
        <v>45994</v>
      </c>
      <c r="B210">
        <v>8137322488</v>
      </c>
      <c r="C210" t="s">
        <v>58</v>
      </c>
      <c r="H210" s="1">
        <v>5280</v>
      </c>
      <c r="I210" s="1">
        <v>240</v>
      </c>
      <c r="J210" s="1"/>
      <c r="L210" s="8">
        <v>89</v>
      </c>
      <c r="M210" s="17" t="s">
        <v>263</v>
      </c>
      <c r="N210" t="s">
        <v>307</v>
      </c>
      <c r="O210" t="s">
        <v>16</v>
      </c>
      <c r="R210" s="3">
        <v>2</v>
      </c>
      <c r="S210" t="s">
        <v>18</v>
      </c>
      <c r="T210" s="2">
        <v>434416.47000000009</v>
      </c>
    </row>
    <row r="211" spans="1:20" hidden="1" x14ac:dyDescent="0.35">
      <c r="A211" s="20">
        <v>45998</v>
      </c>
      <c r="B211">
        <v>8137329279</v>
      </c>
      <c r="C211" t="s">
        <v>59</v>
      </c>
      <c r="H211" s="1">
        <v>41056</v>
      </c>
      <c r="I211" s="15">
        <v>1785.04</v>
      </c>
      <c r="J211" s="1"/>
      <c r="L211" s="8">
        <v>89</v>
      </c>
      <c r="M211" s="17" t="s">
        <v>264</v>
      </c>
      <c r="N211" t="s">
        <v>307</v>
      </c>
      <c r="O211" t="s">
        <v>16</v>
      </c>
      <c r="R211" s="3">
        <v>2</v>
      </c>
      <c r="S211" t="s">
        <v>18</v>
      </c>
      <c r="T211" s="2">
        <v>434416.47000000009</v>
      </c>
    </row>
    <row r="212" spans="1:20" hidden="1" x14ac:dyDescent="0.35">
      <c r="A212" s="20">
        <v>45998</v>
      </c>
      <c r="B212">
        <v>8137329318</v>
      </c>
      <c r="C212" t="s">
        <v>77</v>
      </c>
      <c r="H212" s="1">
        <v>19973</v>
      </c>
      <c r="I212" s="1">
        <v>868</v>
      </c>
      <c r="J212" s="1"/>
      <c r="L212" s="8">
        <v>89</v>
      </c>
      <c r="M212" s="16" t="s">
        <v>271</v>
      </c>
      <c r="N212" t="s">
        <v>307</v>
      </c>
      <c r="O212" t="s">
        <v>16</v>
      </c>
      <c r="R212" s="3">
        <v>2</v>
      </c>
      <c r="S212" t="s">
        <v>18</v>
      </c>
      <c r="T212" s="2">
        <v>434416.47000000009</v>
      </c>
    </row>
    <row r="213" spans="1:20" hidden="1" x14ac:dyDescent="0.35">
      <c r="A213" s="20">
        <v>45998</v>
      </c>
      <c r="B213">
        <v>8137329423</v>
      </c>
      <c r="C213" t="s">
        <v>78</v>
      </c>
      <c r="H213" s="1">
        <v>420900</v>
      </c>
      <c r="I213" s="1">
        <v>18300</v>
      </c>
      <c r="J213" s="1"/>
      <c r="L213" s="8">
        <v>89</v>
      </c>
      <c r="M213" s="16" t="s">
        <v>272</v>
      </c>
      <c r="N213" t="s">
        <v>307</v>
      </c>
      <c r="O213" t="s">
        <v>16</v>
      </c>
      <c r="R213" s="3">
        <v>2</v>
      </c>
      <c r="S213" t="s">
        <v>18</v>
      </c>
      <c r="T213" s="2">
        <v>434416.47000000009</v>
      </c>
    </row>
    <row r="214" spans="1:20" hidden="1" x14ac:dyDescent="0.35">
      <c r="A214" s="20">
        <v>45998</v>
      </c>
      <c r="B214">
        <v>8137329826</v>
      </c>
      <c r="C214" t="s">
        <v>83</v>
      </c>
      <c r="H214" s="1">
        <v>21184.15</v>
      </c>
      <c r="I214" s="1">
        <v>921</v>
      </c>
      <c r="J214" s="1"/>
      <c r="L214" s="8">
        <v>89</v>
      </c>
      <c r="M214" s="17">
        <v>124146171130</v>
      </c>
      <c r="N214" t="s">
        <v>307</v>
      </c>
      <c r="O214" t="s">
        <v>16</v>
      </c>
      <c r="R214" s="3">
        <v>2</v>
      </c>
      <c r="S214" t="s">
        <v>18</v>
      </c>
      <c r="T214" s="2">
        <v>434416.47000000009</v>
      </c>
    </row>
    <row r="215" spans="1:20" hidden="1" x14ac:dyDescent="0.35">
      <c r="A215" s="20">
        <v>45998</v>
      </c>
      <c r="B215">
        <v>8137329888</v>
      </c>
      <c r="C215" t="s">
        <v>59</v>
      </c>
      <c r="H215" s="1">
        <v>82110</v>
      </c>
      <c r="I215" s="1">
        <v>3570</v>
      </c>
      <c r="J215" s="1"/>
      <c r="L215" s="8">
        <v>89</v>
      </c>
      <c r="M215" s="17" t="s">
        <v>264</v>
      </c>
      <c r="N215" t="s">
        <v>307</v>
      </c>
      <c r="O215" t="s">
        <v>16</v>
      </c>
      <c r="R215" s="3">
        <v>2</v>
      </c>
      <c r="S215" t="s">
        <v>18</v>
      </c>
      <c r="T215" s="2">
        <v>434416.47000000009</v>
      </c>
    </row>
    <row r="216" spans="1:20" hidden="1" x14ac:dyDescent="0.35">
      <c r="A216" s="20">
        <v>45998</v>
      </c>
      <c r="B216">
        <v>8137329928</v>
      </c>
      <c r="C216" t="s">
        <v>88</v>
      </c>
      <c r="H216" s="1">
        <v>126730</v>
      </c>
      <c r="I216" s="1">
        <v>5510</v>
      </c>
      <c r="J216" s="1"/>
      <c r="L216" s="8">
        <v>89</v>
      </c>
      <c r="M216" s="17" t="s">
        <v>273</v>
      </c>
      <c r="N216" t="s">
        <v>307</v>
      </c>
      <c r="O216" t="s">
        <v>16</v>
      </c>
      <c r="R216" s="3">
        <v>2</v>
      </c>
      <c r="S216" t="s">
        <v>18</v>
      </c>
      <c r="T216" s="2">
        <v>434416.47000000009</v>
      </c>
    </row>
    <row r="217" spans="1:20" hidden="1" x14ac:dyDescent="0.35">
      <c r="A217" s="20">
        <v>45998</v>
      </c>
      <c r="B217">
        <v>8137329932</v>
      </c>
      <c r="C217" t="s">
        <v>89</v>
      </c>
      <c r="H217" s="1">
        <v>2294</v>
      </c>
      <c r="I217" s="1">
        <v>100</v>
      </c>
      <c r="J217" s="1"/>
      <c r="L217" s="8">
        <v>89</v>
      </c>
      <c r="M217" s="17" t="s">
        <v>274</v>
      </c>
      <c r="N217" t="s">
        <v>307</v>
      </c>
      <c r="O217" t="s">
        <v>16</v>
      </c>
      <c r="R217" s="3">
        <v>2</v>
      </c>
      <c r="S217" t="s">
        <v>18</v>
      </c>
      <c r="T217" s="2">
        <v>434416.47000000009</v>
      </c>
    </row>
    <row r="218" spans="1:20" hidden="1" x14ac:dyDescent="0.35">
      <c r="A218" s="20">
        <v>45999</v>
      </c>
      <c r="B218">
        <v>8137330017</v>
      </c>
      <c r="C218" t="s">
        <v>90</v>
      </c>
      <c r="H218" s="1">
        <v>16100</v>
      </c>
      <c r="I218" s="1">
        <v>700</v>
      </c>
      <c r="J218" s="1"/>
      <c r="L218" s="8">
        <v>89</v>
      </c>
      <c r="M218" s="17" t="s">
        <v>275</v>
      </c>
      <c r="N218" t="s">
        <v>307</v>
      </c>
      <c r="O218" t="s">
        <v>16</v>
      </c>
      <c r="R218" s="3">
        <v>2</v>
      </c>
      <c r="S218" t="s">
        <v>18</v>
      </c>
      <c r="T218" s="2">
        <v>434416.47000000009</v>
      </c>
    </row>
    <row r="219" spans="1:20" hidden="1" x14ac:dyDescent="0.35">
      <c r="A219" s="20">
        <v>45999</v>
      </c>
      <c r="B219">
        <v>8137330026</v>
      </c>
      <c r="C219" t="s">
        <v>91</v>
      </c>
      <c r="H219" s="1">
        <v>50232</v>
      </c>
      <c r="I219" s="15">
        <v>2392</v>
      </c>
      <c r="J219" s="1"/>
      <c r="L219" s="8">
        <v>89</v>
      </c>
      <c r="M219" s="17" t="s">
        <v>276</v>
      </c>
      <c r="N219" t="s">
        <v>307</v>
      </c>
      <c r="O219" t="s">
        <v>16</v>
      </c>
      <c r="R219" s="3">
        <v>2</v>
      </c>
      <c r="S219" t="s">
        <v>18</v>
      </c>
      <c r="T219" s="2">
        <v>434416.47000000009</v>
      </c>
    </row>
    <row r="220" spans="1:20" hidden="1" x14ac:dyDescent="0.35">
      <c r="A220" s="20">
        <v>45999</v>
      </c>
      <c r="B220">
        <v>8137330027</v>
      </c>
      <c r="C220" t="s">
        <v>92</v>
      </c>
      <c r="H220" s="1">
        <v>22155</v>
      </c>
      <c r="I220" s="1">
        <v>1055</v>
      </c>
      <c r="J220" s="1"/>
      <c r="L220" s="8">
        <v>89</v>
      </c>
      <c r="M220" s="17">
        <v>335182833142</v>
      </c>
      <c r="N220" t="s">
        <v>307</v>
      </c>
      <c r="O220" t="s">
        <v>16</v>
      </c>
      <c r="R220" s="3">
        <v>2</v>
      </c>
      <c r="S220" t="s">
        <v>18</v>
      </c>
      <c r="T220" s="2">
        <v>434416.47000000009</v>
      </c>
    </row>
    <row r="221" spans="1:20" hidden="1" x14ac:dyDescent="0.35">
      <c r="A221" s="20">
        <v>45999</v>
      </c>
      <c r="B221">
        <v>8137330320</v>
      </c>
      <c r="C221" t="s">
        <v>95</v>
      </c>
      <c r="H221" s="1">
        <v>267994.84999999998</v>
      </c>
      <c r="I221" s="1">
        <v>11652</v>
      </c>
      <c r="J221" s="1"/>
      <c r="L221" s="8">
        <v>89</v>
      </c>
      <c r="M221" s="16">
        <v>870287112193</v>
      </c>
      <c r="N221" t="s">
        <v>307</v>
      </c>
      <c r="O221" t="s">
        <v>16</v>
      </c>
      <c r="R221" s="3">
        <v>2</v>
      </c>
      <c r="S221" t="s">
        <v>18</v>
      </c>
      <c r="T221" s="2">
        <v>434416.47000000009</v>
      </c>
    </row>
    <row r="222" spans="1:20" hidden="1" x14ac:dyDescent="0.35">
      <c r="A222" s="20">
        <v>45999</v>
      </c>
      <c r="B222">
        <v>8137330333</v>
      </c>
      <c r="C222" t="s">
        <v>98</v>
      </c>
      <c r="H222" s="1">
        <v>87176.9</v>
      </c>
      <c r="I222" s="1">
        <v>3790</v>
      </c>
      <c r="J222" s="1"/>
      <c r="L222" s="8">
        <v>89</v>
      </c>
      <c r="M222" s="16" t="s">
        <v>277</v>
      </c>
      <c r="N222" t="s">
        <v>307</v>
      </c>
      <c r="O222" t="s">
        <v>16</v>
      </c>
      <c r="R222" s="3">
        <v>2</v>
      </c>
      <c r="S222" t="s">
        <v>18</v>
      </c>
      <c r="T222" s="2">
        <v>434416.47000000009</v>
      </c>
    </row>
    <row r="223" spans="1:20" hidden="1" x14ac:dyDescent="0.35">
      <c r="A223" s="20">
        <v>45999</v>
      </c>
      <c r="B223">
        <v>8137330355</v>
      </c>
      <c r="C223" t="s">
        <v>100</v>
      </c>
      <c r="H223" s="1">
        <v>298812.55</v>
      </c>
      <c r="I223" s="1">
        <v>12992</v>
      </c>
      <c r="J223" s="1"/>
      <c r="L223" s="8">
        <v>89</v>
      </c>
      <c r="M223" s="16" t="s">
        <v>278</v>
      </c>
      <c r="N223" t="s">
        <v>307</v>
      </c>
      <c r="O223" t="s">
        <v>16</v>
      </c>
      <c r="R223" s="3">
        <v>2</v>
      </c>
      <c r="S223" t="s">
        <v>18</v>
      </c>
      <c r="T223" s="2">
        <v>434416.47000000009</v>
      </c>
    </row>
    <row r="224" spans="1:20" hidden="1" x14ac:dyDescent="0.35">
      <c r="A224" s="20">
        <v>45999</v>
      </c>
      <c r="B224">
        <v>8137330371</v>
      </c>
      <c r="C224" t="s">
        <v>102</v>
      </c>
      <c r="H224" s="1">
        <v>140762</v>
      </c>
      <c r="I224" s="1">
        <v>6122</v>
      </c>
      <c r="J224" s="1"/>
      <c r="L224" s="8">
        <v>89</v>
      </c>
      <c r="M224" s="16" t="s">
        <v>279</v>
      </c>
      <c r="N224" t="s">
        <v>307</v>
      </c>
      <c r="O224" t="s">
        <v>16</v>
      </c>
      <c r="R224" s="3">
        <v>2</v>
      </c>
      <c r="S224" t="s">
        <v>18</v>
      </c>
      <c r="T224" s="2">
        <v>434416.47000000009</v>
      </c>
    </row>
    <row r="225" spans="1:20" hidden="1" x14ac:dyDescent="0.35">
      <c r="A225" s="20">
        <v>45999</v>
      </c>
      <c r="B225">
        <v>8137330372</v>
      </c>
      <c r="C225" t="s">
        <v>103</v>
      </c>
      <c r="H225" s="1">
        <v>20286</v>
      </c>
      <c r="I225" s="1">
        <v>882</v>
      </c>
      <c r="J225" s="1"/>
      <c r="L225" s="8">
        <v>89</v>
      </c>
      <c r="M225" s="16" t="s">
        <v>280</v>
      </c>
      <c r="N225" t="s">
        <v>307</v>
      </c>
      <c r="O225" t="s">
        <v>16</v>
      </c>
      <c r="R225" s="3">
        <v>2</v>
      </c>
      <c r="S225" t="s">
        <v>18</v>
      </c>
      <c r="T225" s="2">
        <v>434416.47000000009</v>
      </c>
    </row>
    <row r="226" spans="1:20" hidden="1" x14ac:dyDescent="0.35">
      <c r="A226" s="20">
        <v>45999</v>
      </c>
      <c r="B226">
        <v>8137330403</v>
      </c>
      <c r="C226" t="s">
        <v>104</v>
      </c>
      <c r="H226" s="1">
        <v>4842.6499999999996</v>
      </c>
      <c r="I226" s="1">
        <v>211</v>
      </c>
      <c r="J226" s="1"/>
      <c r="L226" s="8">
        <v>89</v>
      </c>
      <c r="M226" s="16" t="s">
        <v>281</v>
      </c>
      <c r="N226" t="s">
        <v>307</v>
      </c>
      <c r="O226" t="s">
        <v>16</v>
      </c>
      <c r="R226" s="3">
        <v>2</v>
      </c>
      <c r="S226" t="s">
        <v>18</v>
      </c>
      <c r="T226" s="2">
        <v>434416.47000000009</v>
      </c>
    </row>
    <row r="227" spans="1:20" hidden="1" x14ac:dyDescent="0.35">
      <c r="A227" s="20">
        <v>46000</v>
      </c>
      <c r="B227">
        <v>8137330696</v>
      </c>
      <c r="C227" t="s">
        <v>107</v>
      </c>
      <c r="H227" s="1">
        <v>50600</v>
      </c>
      <c r="I227" s="1">
        <v>2200</v>
      </c>
      <c r="J227" s="1"/>
      <c r="L227" s="8">
        <v>89</v>
      </c>
      <c r="M227" s="16" t="s">
        <v>282</v>
      </c>
      <c r="N227" t="s">
        <v>307</v>
      </c>
      <c r="O227" t="s">
        <v>16</v>
      </c>
      <c r="R227" s="3">
        <v>2</v>
      </c>
      <c r="S227" t="s">
        <v>18</v>
      </c>
      <c r="T227" s="2">
        <v>434416.47000000009</v>
      </c>
    </row>
    <row r="228" spans="1:20" hidden="1" x14ac:dyDescent="0.35">
      <c r="A228" s="20">
        <v>46000</v>
      </c>
      <c r="B228">
        <v>8137330703</v>
      </c>
      <c r="C228" t="s">
        <v>109</v>
      </c>
      <c r="H228" s="1">
        <v>17595</v>
      </c>
      <c r="I228" s="1">
        <v>765</v>
      </c>
      <c r="J228" s="1"/>
      <c r="L228" s="8">
        <v>89</v>
      </c>
      <c r="M228" s="16" t="s">
        <v>283</v>
      </c>
      <c r="N228" t="s">
        <v>307</v>
      </c>
      <c r="O228" t="s">
        <v>16</v>
      </c>
      <c r="R228" s="3">
        <v>2</v>
      </c>
      <c r="S228" t="s">
        <v>18</v>
      </c>
      <c r="T228" s="2">
        <v>434416.47000000009</v>
      </c>
    </row>
    <row r="229" spans="1:20" hidden="1" x14ac:dyDescent="0.35">
      <c r="A229" s="20">
        <v>46000</v>
      </c>
      <c r="B229">
        <v>8137330704</v>
      </c>
      <c r="C229" t="s">
        <v>110</v>
      </c>
      <c r="H229" s="1">
        <v>60720</v>
      </c>
      <c r="I229" s="1">
        <v>2640</v>
      </c>
      <c r="J229" s="1"/>
      <c r="L229" s="8">
        <v>89</v>
      </c>
      <c r="M229" s="16" t="s">
        <v>284</v>
      </c>
      <c r="N229" t="s">
        <v>307</v>
      </c>
      <c r="O229" t="s">
        <v>16</v>
      </c>
      <c r="R229" s="3">
        <v>2</v>
      </c>
      <c r="S229" t="s">
        <v>18</v>
      </c>
      <c r="T229" s="2">
        <v>434416.47000000009</v>
      </c>
    </row>
    <row r="230" spans="1:20" hidden="1" x14ac:dyDescent="0.35">
      <c r="A230" s="20">
        <v>46000</v>
      </c>
      <c r="B230">
        <v>8137330989</v>
      </c>
      <c r="C230" t="s">
        <v>107</v>
      </c>
      <c r="H230" s="1">
        <v>27600</v>
      </c>
      <c r="I230" s="1">
        <v>1200</v>
      </c>
      <c r="J230" s="1"/>
      <c r="L230" s="8">
        <v>89</v>
      </c>
      <c r="M230" s="16" t="s">
        <v>282</v>
      </c>
      <c r="N230" t="s">
        <v>307</v>
      </c>
      <c r="O230" t="s">
        <v>16</v>
      </c>
      <c r="R230" s="3">
        <v>2</v>
      </c>
      <c r="S230" t="s">
        <v>18</v>
      </c>
      <c r="T230" s="2">
        <v>434416.47000000009</v>
      </c>
    </row>
    <row r="231" spans="1:20" hidden="1" x14ac:dyDescent="0.35">
      <c r="A231" s="20">
        <v>46000</v>
      </c>
      <c r="B231">
        <v>8137330990</v>
      </c>
      <c r="C231" t="s">
        <v>112</v>
      </c>
      <c r="H231" s="1">
        <v>18400</v>
      </c>
      <c r="I231" s="1">
        <v>800</v>
      </c>
      <c r="J231" s="1"/>
      <c r="L231" s="8">
        <v>89</v>
      </c>
      <c r="M231" s="17">
        <v>735278725254</v>
      </c>
      <c r="N231" t="s">
        <v>307</v>
      </c>
      <c r="O231" t="s">
        <v>16</v>
      </c>
      <c r="R231" s="3">
        <v>2</v>
      </c>
      <c r="S231" t="s">
        <v>18</v>
      </c>
      <c r="T231" s="2">
        <v>434416.47000000009</v>
      </c>
    </row>
    <row r="232" spans="1:20" hidden="1" x14ac:dyDescent="0.35">
      <c r="A232" s="20">
        <v>46000</v>
      </c>
      <c r="B232">
        <v>8137330993</v>
      </c>
      <c r="C232" t="s">
        <v>27</v>
      </c>
      <c r="H232" s="1">
        <v>54050</v>
      </c>
      <c r="I232" s="1">
        <v>2350</v>
      </c>
      <c r="J232" s="1"/>
      <c r="L232" s="8">
        <v>89</v>
      </c>
      <c r="M232" s="16" t="s">
        <v>255</v>
      </c>
      <c r="N232" t="s">
        <v>307</v>
      </c>
      <c r="O232" t="s">
        <v>16</v>
      </c>
      <c r="R232" s="3">
        <v>2</v>
      </c>
      <c r="S232" t="s">
        <v>18</v>
      </c>
      <c r="T232" s="2">
        <v>434416.47000000009</v>
      </c>
    </row>
    <row r="233" spans="1:20" hidden="1" x14ac:dyDescent="0.35">
      <c r="A233" s="20">
        <v>46000</v>
      </c>
      <c r="B233">
        <v>8137331109</v>
      </c>
      <c r="C233" t="s">
        <v>113</v>
      </c>
      <c r="H233" s="1">
        <v>643535.4</v>
      </c>
      <c r="I233" s="1">
        <v>27979.8</v>
      </c>
      <c r="J233" s="1"/>
      <c r="L233" s="8">
        <v>89</v>
      </c>
      <c r="M233" s="16" t="s">
        <v>285</v>
      </c>
      <c r="N233" t="s">
        <v>307</v>
      </c>
      <c r="O233" t="s">
        <v>16</v>
      </c>
      <c r="R233" s="3">
        <v>2</v>
      </c>
      <c r="S233" t="s">
        <v>18</v>
      </c>
      <c r="T233" s="2">
        <v>434416.47000000009</v>
      </c>
    </row>
    <row r="234" spans="1:20" hidden="1" x14ac:dyDescent="0.35">
      <c r="A234" s="20">
        <v>46000</v>
      </c>
      <c r="B234">
        <v>8137331123</v>
      </c>
      <c r="C234" t="s">
        <v>15</v>
      </c>
      <c r="H234" s="1">
        <v>78239.7</v>
      </c>
      <c r="I234" s="1">
        <v>3725.7</v>
      </c>
      <c r="J234" s="1"/>
      <c r="L234" s="8">
        <v>89</v>
      </c>
      <c r="M234" s="16" t="s">
        <v>286</v>
      </c>
      <c r="N234" t="s">
        <v>307</v>
      </c>
      <c r="O234" t="s">
        <v>16</v>
      </c>
      <c r="R234" s="3">
        <v>2</v>
      </c>
      <c r="S234" t="s">
        <v>18</v>
      </c>
      <c r="T234" s="2">
        <v>434416.47000000009</v>
      </c>
    </row>
    <row r="235" spans="1:20" hidden="1" x14ac:dyDescent="0.35">
      <c r="A235" s="20">
        <v>46001</v>
      </c>
      <c r="B235">
        <v>8137331152</v>
      </c>
      <c r="C235" t="s">
        <v>115</v>
      </c>
      <c r="H235" s="1">
        <v>25012.5</v>
      </c>
      <c r="I235" s="1">
        <v>1088</v>
      </c>
      <c r="J235" s="1"/>
      <c r="L235" s="8">
        <v>89</v>
      </c>
      <c r="M235" s="16" t="s">
        <v>287</v>
      </c>
      <c r="N235" t="s">
        <v>307</v>
      </c>
      <c r="O235" t="s">
        <v>16</v>
      </c>
      <c r="R235" s="3">
        <v>2</v>
      </c>
      <c r="S235" t="s">
        <v>18</v>
      </c>
      <c r="T235" s="2">
        <v>434416.47000000009</v>
      </c>
    </row>
    <row r="236" spans="1:20" hidden="1" x14ac:dyDescent="0.35">
      <c r="A236" s="20">
        <v>46001</v>
      </c>
      <c r="B236">
        <v>8137331187</v>
      </c>
      <c r="C236" t="s">
        <v>118</v>
      </c>
      <c r="H236" s="1">
        <v>9545</v>
      </c>
      <c r="I236" s="1">
        <v>415</v>
      </c>
      <c r="J236" s="1"/>
      <c r="L236" s="8">
        <v>89</v>
      </c>
      <c r="M236" s="16" t="s">
        <v>288</v>
      </c>
      <c r="N236" t="s">
        <v>307</v>
      </c>
      <c r="O236" t="s">
        <v>16</v>
      </c>
      <c r="R236" s="3">
        <v>2</v>
      </c>
      <c r="S236" t="s">
        <v>18</v>
      </c>
      <c r="T236" s="2">
        <v>434416.47000000009</v>
      </c>
    </row>
    <row r="237" spans="1:20" hidden="1" x14ac:dyDescent="0.35">
      <c r="A237" s="20">
        <v>46001</v>
      </c>
      <c r="B237">
        <v>8137331216</v>
      </c>
      <c r="C237" t="s">
        <v>120</v>
      </c>
      <c r="H237" s="1">
        <v>31100</v>
      </c>
      <c r="I237" s="1">
        <v>1352</v>
      </c>
      <c r="J237" s="1"/>
      <c r="L237" s="8">
        <v>89</v>
      </c>
      <c r="M237" s="16" t="s">
        <v>289</v>
      </c>
      <c r="N237" t="s">
        <v>307</v>
      </c>
      <c r="O237" t="s">
        <v>16</v>
      </c>
      <c r="R237" s="3">
        <v>2</v>
      </c>
      <c r="S237" t="s">
        <v>18</v>
      </c>
      <c r="T237" s="2">
        <v>434416.47000000009</v>
      </c>
    </row>
    <row r="238" spans="1:20" hidden="1" x14ac:dyDescent="0.35">
      <c r="A238" s="20">
        <v>46001</v>
      </c>
      <c r="B238">
        <v>8137331321</v>
      </c>
      <c r="C238" t="s">
        <v>123</v>
      </c>
      <c r="H238" s="1">
        <v>247302.9</v>
      </c>
      <c r="I238" s="1">
        <v>10752</v>
      </c>
      <c r="J238" s="1"/>
      <c r="L238" s="8">
        <v>89</v>
      </c>
      <c r="M238" s="17">
        <v>371739300369</v>
      </c>
      <c r="N238" t="s">
        <v>307</v>
      </c>
      <c r="O238" t="s">
        <v>16</v>
      </c>
      <c r="R238" s="3">
        <v>2</v>
      </c>
      <c r="S238" t="s">
        <v>18</v>
      </c>
      <c r="T238" s="2">
        <v>434416.47000000009</v>
      </c>
    </row>
    <row r="239" spans="1:20" hidden="1" x14ac:dyDescent="0.35">
      <c r="A239" s="20">
        <v>46001</v>
      </c>
      <c r="B239">
        <v>8137331324</v>
      </c>
      <c r="C239" t="s">
        <v>124</v>
      </c>
      <c r="H239" s="1">
        <v>133548.35</v>
      </c>
      <c r="I239" s="1">
        <v>5806</v>
      </c>
      <c r="J239" s="1"/>
      <c r="L239" s="8">
        <v>89</v>
      </c>
      <c r="M239" s="17">
        <v>132587798174</v>
      </c>
      <c r="N239" t="s">
        <v>307</v>
      </c>
      <c r="O239" t="s">
        <v>16</v>
      </c>
      <c r="R239" s="3">
        <v>2</v>
      </c>
      <c r="S239" t="s">
        <v>18</v>
      </c>
      <c r="T239" s="2">
        <v>434416.47000000009</v>
      </c>
    </row>
    <row r="240" spans="1:20" hidden="1" x14ac:dyDescent="0.35">
      <c r="A240" s="20">
        <v>46001</v>
      </c>
      <c r="B240">
        <v>8137331475</v>
      </c>
      <c r="C240" t="s">
        <v>27</v>
      </c>
      <c r="H240" s="1">
        <v>3795</v>
      </c>
      <c r="I240" s="1">
        <v>165</v>
      </c>
      <c r="J240" s="1"/>
      <c r="L240" s="8">
        <v>89</v>
      </c>
      <c r="M240" s="16" t="s">
        <v>255</v>
      </c>
      <c r="N240" t="s">
        <v>307</v>
      </c>
      <c r="O240" t="s">
        <v>16</v>
      </c>
      <c r="R240" s="3">
        <v>2</v>
      </c>
      <c r="S240" t="s">
        <v>18</v>
      </c>
      <c r="T240" s="2">
        <v>434416.47000000009</v>
      </c>
    </row>
    <row r="241" spans="1:20" hidden="1" x14ac:dyDescent="0.35">
      <c r="A241" s="20">
        <v>46001</v>
      </c>
      <c r="B241">
        <v>8137331477</v>
      </c>
      <c r="C241" t="s">
        <v>125</v>
      </c>
      <c r="H241" s="1">
        <v>29555</v>
      </c>
      <c r="I241" s="1">
        <v>1285</v>
      </c>
      <c r="J241" s="1"/>
      <c r="L241" s="8">
        <v>89</v>
      </c>
      <c r="M241" s="16" t="s">
        <v>290</v>
      </c>
      <c r="N241" t="s">
        <v>307</v>
      </c>
      <c r="O241" t="s">
        <v>16</v>
      </c>
      <c r="R241" s="3">
        <v>2</v>
      </c>
      <c r="S241" t="s">
        <v>18</v>
      </c>
      <c r="T241" s="2">
        <v>434416.47000000009</v>
      </c>
    </row>
    <row r="242" spans="1:20" hidden="1" x14ac:dyDescent="0.35">
      <c r="A242" s="20">
        <v>46001</v>
      </c>
      <c r="B242">
        <v>8137331693</v>
      </c>
      <c r="C242" t="s">
        <v>113</v>
      </c>
      <c r="H242" s="1">
        <v>762895.05</v>
      </c>
      <c r="I242" s="1">
        <v>33169</v>
      </c>
      <c r="J242" s="1"/>
      <c r="L242" s="8">
        <v>89</v>
      </c>
      <c r="M242" s="16" t="s">
        <v>285</v>
      </c>
      <c r="N242" t="s">
        <v>307</v>
      </c>
      <c r="O242" t="s">
        <v>16</v>
      </c>
      <c r="R242" s="3">
        <v>2</v>
      </c>
      <c r="S242" t="s">
        <v>18</v>
      </c>
      <c r="T242" s="2">
        <v>434416.47000000009</v>
      </c>
    </row>
    <row r="243" spans="1:20" hidden="1" x14ac:dyDescent="0.35">
      <c r="A243" s="20">
        <v>46001</v>
      </c>
      <c r="B243">
        <v>8137331840</v>
      </c>
      <c r="C243" t="s">
        <v>30</v>
      </c>
      <c r="H243" s="1">
        <v>38373</v>
      </c>
      <c r="I243" s="1">
        <v>192</v>
      </c>
      <c r="J243" s="1"/>
      <c r="L243" s="8">
        <v>89</v>
      </c>
      <c r="M243" s="16" t="s">
        <v>257</v>
      </c>
      <c r="N243" t="s">
        <v>307</v>
      </c>
      <c r="O243" t="s">
        <v>16</v>
      </c>
      <c r="R243" s="3">
        <v>2</v>
      </c>
      <c r="S243" t="s">
        <v>18</v>
      </c>
      <c r="T243" s="2">
        <v>434416.47000000009</v>
      </c>
    </row>
    <row r="244" spans="1:20" hidden="1" x14ac:dyDescent="0.35">
      <c r="A244" s="20">
        <v>46001</v>
      </c>
      <c r="B244">
        <v>8137331847</v>
      </c>
      <c r="C244" t="s">
        <v>28</v>
      </c>
      <c r="H244" s="1">
        <v>35750</v>
      </c>
      <c r="I244" s="1">
        <v>1625</v>
      </c>
      <c r="J244" s="1"/>
      <c r="L244" s="8">
        <v>89</v>
      </c>
      <c r="M244" s="16" t="s">
        <v>256</v>
      </c>
      <c r="N244" t="s">
        <v>307</v>
      </c>
      <c r="O244" t="s">
        <v>16</v>
      </c>
      <c r="R244" s="3">
        <v>2</v>
      </c>
      <c r="S244" t="s">
        <v>18</v>
      </c>
      <c r="T244" s="2">
        <v>434416.47000000009</v>
      </c>
    </row>
    <row r="245" spans="1:20" hidden="1" x14ac:dyDescent="0.35">
      <c r="A245" s="20">
        <v>46001</v>
      </c>
      <c r="B245">
        <v>8137331905</v>
      </c>
      <c r="C245" t="s">
        <v>61</v>
      </c>
      <c r="H245" s="1">
        <v>9147.3499999999985</v>
      </c>
      <c r="I245" s="1">
        <v>415.79</v>
      </c>
      <c r="J245" s="1"/>
      <c r="L245" s="8">
        <v>89</v>
      </c>
      <c r="M245" s="16" t="s">
        <v>266</v>
      </c>
      <c r="N245" t="s">
        <v>307</v>
      </c>
      <c r="O245" t="s">
        <v>16</v>
      </c>
      <c r="R245" s="3">
        <v>2</v>
      </c>
      <c r="S245" t="s">
        <v>18</v>
      </c>
      <c r="T245" s="2">
        <v>434416.47000000009</v>
      </c>
    </row>
    <row r="246" spans="1:20" hidden="1" x14ac:dyDescent="0.35">
      <c r="A246" s="20">
        <v>46001</v>
      </c>
      <c r="B246">
        <v>8137331986</v>
      </c>
      <c r="C246" t="s">
        <v>64</v>
      </c>
      <c r="H246" s="1">
        <v>14375</v>
      </c>
      <c r="I246" s="1">
        <v>625</v>
      </c>
      <c r="J246" s="1"/>
      <c r="L246" s="8">
        <v>89</v>
      </c>
      <c r="M246" s="16" t="s">
        <v>267</v>
      </c>
      <c r="N246" t="s">
        <v>307</v>
      </c>
      <c r="O246" t="s">
        <v>16</v>
      </c>
      <c r="R246" s="3">
        <v>2</v>
      </c>
      <c r="S246" t="s">
        <v>18</v>
      </c>
      <c r="T246" s="2">
        <v>434416.47000000009</v>
      </c>
    </row>
    <row r="247" spans="1:20" hidden="1" x14ac:dyDescent="0.35">
      <c r="A247" s="20">
        <v>46001</v>
      </c>
      <c r="B247">
        <v>8137331988</v>
      </c>
      <c r="C247" t="s">
        <v>129</v>
      </c>
      <c r="H247" s="1">
        <v>17816.339999999997</v>
      </c>
      <c r="I247" s="1">
        <v>809.85</v>
      </c>
      <c r="J247" s="1"/>
      <c r="L247" s="8">
        <v>89</v>
      </c>
      <c r="M247" s="16" t="s">
        <v>291</v>
      </c>
      <c r="N247" t="s">
        <v>307</v>
      </c>
      <c r="O247" t="s">
        <v>16</v>
      </c>
      <c r="R247" s="3">
        <v>2</v>
      </c>
      <c r="S247" t="s">
        <v>18</v>
      </c>
      <c r="T247" s="2">
        <v>434416.47000000009</v>
      </c>
    </row>
    <row r="248" spans="1:20" hidden="1" x14ac:dyDescent="0.35">
      <c r="A248" s="20">
        <v>46002</v>
      </c>
      <c r="B248">
        <v>8137332050</v>
      </c>
      <c r="C248" t="s">
        <v>130</v>
      </c>
      <c r="H248" s="1">
        <v>35650</v>
      </c>
      <c r="I248" s="1">
        <v>1550</v>
      </c>
      <c r="J248" s="1"/>
      <c r="L248" s="8">
        <v>89</v>
      </c>
      <c r="M248" s="16" t="s">
        <v>292</v>
      </c>
      <c r="N248" t="s">
        <v>307</v>
      </c>
      <c r="O248" t="s">
        <v>16</v>
      </c>
      <c r="R248" s="3">
        <v>2</v>
      </c>
      <c r="S248" t="s">
        <v>18</v>
      </c>
      <c r="T248" s="2">
        <v>434416.47000000009</v>
      </c>
    </row>
    <row r="249" spans="1:20" hidden="1" x14ac:dyDescent="0.35">
      <c r="A249" s="20">
        <v>46004</v>
      </c>
      <c r="B249">
        <v>8137332255</v>
      </c>
      <c r="C249" t="s">
        <v>132</v>
      </c>
      <c r="H249" s="1">
        <v>17100</v>
      </c>
      <c r="I249" s="1">
        <v>743</v>
      </c>
      <c r="J249" s="1"/>
      <c r="L249" s="8">
        <v>89</v>
      </c>
      <c r="M249" s="16" t="s">
        <v>293</v>
      </c>
      <c r="N249" t="s">
        <v>307</v>
      </c>
      <c r="O249" t="s">
        <v>16</v>
      </c>
      <c r="R249" s="3">
        <v>2</v>
      </c>
      <c r="S249" t="s">
        <v>18</v>
      </c>
      <c r="T249" s="2">
        <v>434416.47000000009</v>
      </c>
    </row>
    <row r="250" spans="1:20" hidden="1" x14ac:dyDescent="0.35">
      <c r="A250" s="20">
        <v>46005</v>
      </c>
      <c r="B250">
        <v>8137332360</v>
      </c>
      <c r="C250" t="s">
        <v>27</v>
      </c>
      <c r="H250" s="1">
        <v>124775</v>
      </c>
      <c r="I250" s="1">
        <v>5425</v>
      </c>
      <c r="J250" s="1"/>
      <c r="L250" s="8">
        <v>89</v>
      </c>
      <c r="M250" s="16" t="s">
        <v>255</v>
      </c>
      <c r="N250" t="s">
        <v>307</v>
      </c>
      <c r="O250" t="s">
        <v>16</v>
      </c>
      <c r="R250" s="3">
        <v>2</v>
      </c>
      <c r="S250" t="s">
        <v>18</v>
      </c>
      <c r="T250" s="2">
        <v>434416.47000000009</v>
      </c>
    </row>
    <row r="251" spans="1:20" hidden="1" x14ac:dyDescent="0.35">
      <c r="A251" s="20">
        <v>46005</v>
      </c>
      <c r="B251">
        <v>8137332448</v>
      </c>
      <c r="C251" t="s">
        <v>135</v>
      </c>
      <c r="H251" s="1">
        <v>10925</v>
      </c>
      <c r="I251" s="1">
        <v>475</v>
      </c>
      <c r="J251" s="1"/>
      <c r="L251" s="8">
        <v>89</v>
      </c>
      <c r="M251" s="16" t="s">
        <v>294</v>
      </c>
      <c r="N251" t="s">
        <v>307</v>
      </c>
      <c r="O251" t="s">
        <v>16</v>
      </c>
      <c r="R251" s="3">
        <v>2</v>
      </c>
      <c r="S251" t="s">
        <v>18</v>
      </c>
      <c r="T251" s="2">
        <v>434416.47000000009</v>
      </c>
    </row>
    <row r="252" spans="1:20" hidden="1" x14ac:dyDescent="0.35">
      <c r="A252" s="20">
        <v>46005</v>
      </c>
      <c r="B252">
        <v>8137332585</v>
      </c>
      <c r="C252" t="s">
        <v>135</v>
      </c>
      <c r="H252" s="1">
        <v>35075</v>
      </c>
      <c r="I252" s="1">
        <v>1525</v>
      </c>
      <c r="J252" s="1"/>
      <c r="L252" s="8">
        <v>89</v>
      </c>
      <c r="M252" s="16" t="s">
        <v>294</v>
      </c>
      <c r="N252" t="s">
        <v>307</v>
      </c>
      <c r="O252" t="s">
        <v>16</v>
      </c>
      <c r="R252" s="3">
        <v>2</v>
      </c>
      <c r="S252" t="s">
        <v>18</v>
      </c>
      <c r="T252" s="2">
        <v>434416.47000000009</v>
      </c>
    </row>
    <row r="253" spans="1:20" hidden="1" x14ac:dyDescent="0.35">
      <c r="A253" s="20">
        <v>46005</v>
      </c>
      <c r="B253">
        <v>8137332619</v>
      </c>
      <c r="C253" t="s">
        <v>138</v>
      </c>
      <c r="H253" s="1">
        <v>30104.799999999999</v>
      </c>
      <c r="I253" s="1">
        <v>1368</v>
      </c>
      <c r="J253" s="1"/>
      <c r="L253" s="8">
        <v>89</v>
      </c>
      <c r="M253" s="16" t="s">
        <v>295</v>
      </c>
      <c r="N253" t="s">
        <v>307</v>
      </c>
      <c r="O253" t="s">
        <v>16</v>
      </c>
      <c r="R253" s="3">
        <v>2</v>
      </c>
      <c r="S253" t="s">
        <v>18</v>
      </c>
      <c r="T253" s="2">
        <v>434416.47000000009</v>
      </c>
    </row>
    <row r="254" spans="1:20" hidden="1" x14ac:dyDescent="0.35">
      <c r="A254" s="20">
        <v>46005</v>
      </c>
      <c r="B254">
        <v>8137333221</v>
      </c>
      <c r="C254" t="s">
        <v>55</v>
      </c>
      <c r="H254" s="1">
        <v>24628.42</v>
      </c>
      <c r="I254" s="1">
        <v>1119.47</v>
      </c>
      <c r="J254" s="1"/>
      <c r="L254" s="8">
        <v>89</v>
      </c>
      <c r="M254" s="17">
        <v>138284678178</v>
      </c>
      <c r="N254" t="s">
        <v>307</v>
      </c>
      <c r="O254" t="s">
        <v>16</v>
      </c>
      <c r="R254" s="3">
        <v>2</v>
      </c>
      <c r="S254" t="s">
        <v>18</v>
      </c>
      <c r="T254" s="2">
        <v>434416.47000000009</v>
      </c>
    </row>
    <row r="255" spans="1:20" hidden="1" x14ac:dyDescent="0.35">
      <c r="A255" s="20">
        <v>46005</v>
      </c>
      <c r="B255">
        <v>8137333302</v>
      </c>
      <c r="C255" t="s">
        <v>60</v>
      </c>
      <c r="H255" s="1">
        <v>13171.050000000001</v>
      </c>
      <c r="I255" s="1">
        <v>598.67999999999995</v>
      </c>
      <c r="J255" s="1"/>
      <c r="L255" s="8">
        <v>89</v>
      </c>
      <c r="M255" s="16" t="s">
        <v>265</v>
      </c>
      <c r="N255" t="s">
        <v>307</v>
      </c>
      <c r="O255" t="s">
        <v>16</v>
      </c>
      <c r="R255" s="3">
        <v>2</v>
      </c>
      <c r="S255" t="s">
        <v>18</v>
      </c>
      <c r="T255" s="2">
        <v>434416.47000000009</v>
      </c>
    </row>
    <row r="256" spans="1:20" hidden="1" x14ac:dyDescent="0.35">
      <c r="A256" s="20">
        <v>46006</v>
      </c>
      <c r="B256">
        <v>8137333671</v>
      </c>
      <c r="C256" t="s">
        <v>135</v>
      </c>
      <c r="H256" s="1">
        <v>146625</v>
      </c>
      <c r="I256" s="1">
        <v>6375</v>
      </c>
      <c r="J256" s="1"/>
      <c r="L256" s="8">
        <v>89</v>
      </c>
      <c r="M256" s="16" t="s">
        <v>294</v>
      </c>
      <c r="N256" t="s">
        <v>307</v>
      </c>
      <c r="O256" t="s">
        <v>16</v>
      </c>
      <c r="R256" s="3">
        <v>2</v>
      </c>
      <c r="S256" t="s">
        <v>18</v>
      </c>
      <c r="T256" s="2">
        <v>434416.47000000009</v>
      </c>
    </row>
    <row r="257" spans="1:20" hidden="1" x14ac:dyDescent="0.35">
      <c r="A257" s="20">
        <v>46006</v>
      </c>
      <c r="B257">
        <v>8137333673</v>
      </c>
      <c r="C257" t="s">
        <v>145</v>
      </c>
      <c r="H257" s="1">
        <v>61525</v>
      </c>
      <c r="I257" s="1">
        <v>2675</v>
      </c>
      <c r="J257" s="1"/>
      <c r="L257" s="8">
        <v>89</v>
      </c>
      <c r="M257" s="16" t="s">
        <v>296</v>
      </c>
      <c r="N257" t="s">
        <v>307</v>
      </c>
      <c r="O257" t="s">
        <v>16</v>
      </c>
      <c r="R257" s="3">
        <v>2</v>
      </c>
      <c r="S257" t="s">
        <v>18</v>
      </c>
      <c r="T257" s="2">
        <v>434416.47000000009</v>
      </c>
    </row>
    <row r="258" spans="1:20" hidden="1" x14ac:dyDescent="0.35">
      <c r="A258" s="20">
        <v>46006</v>
      </c>
      <c r="B258">
        <v>8137333831</v>
      </c>
      <c r="C258" t="s">
        <v>30</v>
      </c>
      <c r="H258" s="1">
        <v>152335</v>
      </c>
      <c r="I258" s="1">
        <v>762</v>
      </c>
      <c r="J258" s="1"/>
      <c r="L258" s="8">
        <v>89</v>
      </c>
      <c r="M258" s="16" t="s">
        <v>257</v>
      </c>
      <c r="N258" t="s">
        <v>307</v>
      </c>
      <c r="O258" t="s">
        <v>16</v>
      </c>
      <c r="R258" s="3">
        <v>2</v>
      </c>
      <c r="S258" t="s">
        <v>18</v>
      </c>
      <c r="T258" s="2">
        <v>434416.47000000009</v>
      </c>
    </row>
    <row r="259" spans="1:20" hidden="1" x14ac:dyDescent="0.35">
      <c r="A259" s="20">
        <v>46008</v>
      </c>
      <c r="B259">
        <v>8137334104</v>
      </c>
      <c r="C259" t="s">
        <v>77</v>
      </c>
      <c r="H259" s="1">
        <v>61736</v>
      </c>
      <c r="I259" s="1">
        <v>2684</v>
      </c>
      <c r="J259" s="1"/>
      <c r="L259" s="8">
        <v>89</v>
      </c>
      <c r="M259" s="16" t="s">
        <v>271</v>
      </c>
      <c r="N259" t="s">
        <v>307</v>
      </c>
      <c r="O259" t="s">
        <v>16</v>
      </c>
      <c r="R259" s="3">
        <v>2</v>
      </c>
      <c r="S259" t="s">
        <v>18</v>
      </c>
      <c r="T259" s="2">
        <v>434416.47000000009</v>
      </c>
    </row>
    <row r="260" spans="1:20" hidden="1" x14ac:dyDescent="0.35">
      <c r="A260" s="20">
        <v>46008</v>
      </c>
      <c r="B260">
        <v>8137334381</v>
      </c>
      <c r="C260" t="s">
        <v>109</v>
      </c>
      <c r="H260" s="1">
        <v>18745</v>
      </c>
      <c r="I260" s="1">
        <v>815</v>
      </c>
      <c r="J260" s="1"/>
      <c r="L260" s="8">
        <v>89</v>
      </c>
      <c r="M260" s="16" t="s">
        <v>283</v>
      </c>
      <c r="N260" t="s">
        <v>307</v>
      </c>
      <c r="O260" t="s">
        <v>16</v>
      </c>
      <c r="R260" s="3">
        <v>2</v>
      </c>
      <c r="S260" t="s">
        <v>18</v>
      </c>
      <c r="T260" s="2">
        <v>434416.47000000009</v>
      </c>
    </row>
    <row r="261" spans="1:20" hidden="1" x14ac:dyDescent="0.35">
      <c r="A261" s="20">
        <v>46008</v>
      </c>
      <c r="B261">
        <v>8137334443</v>
      </c>
      <c r="C261" t="s">
        <v>113</v>
      </c>
      <c r="H261" s="1">
        <v>290468.15000000002</v>
      </c>
      <c r="I261" s="1">
        <v>12629</v>
      </c>
      <c r="J261" s="1"/>
      <c r="L261" s="8">
        <v>89</v>
      </c>
      <c r="M261" s="16" t="s">
        <v>285</v>
      </c>
      <c r="N261" t="s">
        <v>307</v>
      </c>
      <c r="O261" t="s">
        <v>16</v>
      </c>
      <c r="R261" s="3">
        <v>2</v>
      </c>
      <c r="S261" t="s">
        <v>18</v>
      </c>
      <c r="T261" s="2">
        <v>434416.47000000009</v>
      </c>
    </row>
    <row r="262" spans="1:20" hidden="1" x14ac:dyDescent="0.35">
      <c r="A262" s="20">
        <v>46008</v>
      </c>
      <c r="B262">
        <v>8137334453</v>
      </c>
      <c r="C262" t="s">
        <v>107</v>
      </c>
      <c r="H262" s="1">
        <v>5980</v>
      </c>
      <c r="I262" s="1">
        <v>260</v>
      </c>
      <c r="J262" s="1"/>
      <c r="L262" s="8">
        <v>89</v>
      </c>
      <c r="M262" s="16" t="s">
        <v>282</v>
      </c>
      <c r="N262" t="s">
        <v>307</v>
      </c>
      <c r="O262" t="s">
        <v>16</v>
      </c>
      <c r="R262" s="3">
        <v>2</v>
      </c>
      <c r="S262" t="s">
        <v>18</v>
      </c>
      <c r="T262" s="2">
        <v>434416.47000000009</v>
      </c>
    </row>
    <row r="263" spans="1:20" hidden="1" x14ac:dyDescent="0.35">
      <c r="A263" s="20">
        <v>46008</v>
      </c>
      <c r="B263">
        <v>8137334482</v>
      </c>
      <c r="C263" t="s">
        <v>27</v>
      </c>
      <c r="H263" s="1">
        <v>8970</v>
      </c>
      <c r="I263" s="1">
        <v>390</v>
      </c>
      <c r="J263" s="1"/>
      <c r="L263" s="8">
        <v>89</v>
      </c>
      <c r="M263" s="16" t="s">
        <v>255</v>
      </c>
      <c r="N263" t="s">
        <v>307</v>
      </c>
      <c r="O263" t="s">
        <v>16</v>
      </c>
      <c r="R263" s="3">
        <v>2</v>
      </c>
      <c r="S263" t="s">
        <v>18</v>
      </c>
      <c r="T263" s="2">
        <v>434416.47000000009</v>
      </c>
    </row>
    <row r="264" spans="1:20" hidden="1" x14ac:dyDescent="0.35">
      <c r="A264" s="20">
        <v>46008</v>
      </c>
      <c r="B264">
        <v>8137334611</v>
      </c>
      <c r="C264" t="s">
        <v>151</v>
      </c>
      <c r="H264" s="1">
        <v>1505.27</v>
      </c>
      <c r="I264" s="1">
        <v>68.42</v>
      </c>
      <c r="J264" s="1"/>
      <c r="L264" s="8">
        <v>89</v>
      </c>
      <c r="M264" s="16" t="s">
        <v>297</v>
      </c>
      <c r="N264" t="s">
        <v>307</v>
      </c>
      <c r="O264" t="s">
        <v>16</v>
      </c>
      <c r="R264" s="3">
        <v>2</v>
      </c>
      <c r="S264" t="s">
        <v>18</v>
      </c>
      <c r="T264" s="2">
        <v>434416.47000000009</v>
      </c>
    </row>
    <row r="265" spans="1:20" hidden="1" x14ac:dyDescent="0.35">
      <c r="A265" s="20">
        <v>46008</v>
      </c>
      <c r="B265">
        <v>8137334702</v>
      </c>
      <c r="C265" t="s">
        <v>30</v>
      </c>
      <c r="H265" s="1">
        <v>66265</v>
      </c>
      <c r="I265" s="1">
        <v>331</v>
      </c>
      <c r="J265" s="1"/>
      <c r="L265" s="8">
        <v>89</v>
      </c>
      <c r="M265" s="16" t="s">
        <v>257</v>
      </c>
      <c r="N265" t="s">
        <v>307</v>
      </c>
      <c r="O265" t="s">
        <v>16</v>
      </c>
      <c r="R265" s="3">
        <v>2</v>
      </c>
      <c r="S265" t="s">
        <v>18</v>
      </c>
      <c r="T265" s="2">
        <v>434416.47000000009</v>
      </c>
    </row>
    <row r="266" spans="1:20" hidden="1" x14ac:dyDescent="0.35">
      <c r="A266" s="20">
        <v>46008</v>
      </c>
      <c r="B266">
        <v>8137334772</v>
      </c>
      <c r="C266" t="s">
        <v>28</v>
      </c>
      <c r="H266" s="1">
        <v>49500</v>
      </c>
      <c r="I266" s="1">
        <v>2250</v>
      </c>
      <c r="J266" s="1"/>
      <c r="L266" s="8">
        <v>89</v>
      </c>
      <c r="M266" s="16" t="s">
        <v>256</v>
      </c>
      <c r="N266" t="s">
        <v>307</v>
      </c>
      <c r="O266" t="s">
        <v>16</v>
      </c>
      <c r="R266" s="3">
        <v>2</v>
      </c>
      <c r="S266" t="s">
        <v>18</v>
      </c>
      <c r="T266" s="2">
        <v>434416.47000000009</v>
      </c>
    </row>
    <row r="267" spans="1:20" hidden="1" x14ac:dyDescent="0.35">
      <c r="A267" s="20">
        <v>46008</v>
      </c>
      <c r="B267">
        <v>8137334773</v>
      </c>
      <c r="C267" t="s">
        <v>152</v>
      </c>
      <c r="H267" s="1">
        <v>62700</v>
      </c>
      <c r="I267" s="1">
        <v>2850</v>
      </c>
      <c r="J267" s="1"/>
      <c r="L267" s="8">
        <v>89</v>
      </c>
      <c r="M267" s="16" t="s">
        <v>298</v>
      </c>
      <c r="N267" t="s">
        <v>307</v>
      </c>
      <c r="O267" t="s">
        <v>16</v>
      </c>
      <c r="R267" s="3">
        <v>2</v>
      </c>
      <c r="S267" t="s">
        <v>18</v>
      </c>
      <c r="T267" s="2">
        <v>434416.47000000009</v>
      </c>
    </row>
    <row r="268" spans="1:20" hidden="1" x14ac:dyDescent="0.35">
      <c r="A268" s="20">
        <v>46009</v>
      </c>
      <c r="B268">
        <v>8137334939</v>
      </c>
      <c r="C268" t="s">
        <v>14</v>
      </c>
      <c r="H268" s="1">
        <v>95901.63</v>
      </c>
      <c r="I268" s="1">
        <v>4169.6400000000003</v>
      </c>
      <c r="J268" s="1"/>
      <c r="L268" s="8">
        <v>89</v>
      </c>
      <c r="M268" s="17" t="s">
        <v>299</v>
      </c>
      <c r="N268" t="s">
        <v>307</v>
      </c>
      <c r="O268" t="s">
        <v>16</v>
      </c>
      <c r="R268" s="3">
        <v>2</v>
      </c>
      <c r="S268" t="s">
        <v>18</v>
      </c>
      <c r="T268" s="2">
        <v>434416.47000000009</v>
      </c>
    </row>
    <row r="269" spans="1:20" hidden="1" x14ac:dyDescent="0.35">
      <c r="A269" s="20">
        <v>46009</v>
      </c>
      <c r="B269">
        <v>8137335039</v>
      </c>
      <c r="C269" t="s">
        <v>77</v>
      </c>
      <c r="H269" s="1">
        <v>19973</v>
      </c>
      <c r="I269" s="1">
        <v>868</v>
      </c>
      <c r="J269" s="1"/>
      <c r="L269" s="8">
        <v>89</v>
      </c>
      <c r="M269" s="16" t="s">
        <v>271</v>
      </c>
      <c r="N269" t="s">
        <v>307</v>
      </c>
      <c r="O269" t="s">
        <v>16</v>
      </c>
      <c r="R269" s="3">
        <v>2</v>
      </c>
      <c r="S269" t="s">
        <v>18</v>
      </c>
      <c r="T269" s="2">
        <v>434416.47000000009</v>
      </c>
    </row>
    <row r="270" spans="1:20" hidden="1" x14ac:dyDescent="0.35">
      <c r="A270" s="20">
        <v>46011</v>
      </c>
      <c r="B270">
        <v>8137335586</v>
      </c>
      <c r="C270" t="s">
        <v>155</v>
      </c>
      <c r="H270" s="1">
        <v>140875</v>
      </c>
      <c r="I270" s="1">
        <v>6125</v>
      </c>
      <c r="J270" s="1"/>
      <c r="L270" s="8">
        <v>89</v>
      </c>
      <c r="M270" s="16" t="s">
        <v>300</v>
      </c>
      <c r="N270" t="s">
        <v>307</v>
      </c>
      <c r="O270" t="s">
        <v>16</v>
      </c>
      <c r="R270" s="3">
        <v>2</v>
      </c>
      <c r="S270" t="s">
        <v>18</v>
      </c>
      <c r="T270" s="2">
        <v>434416.47000000009</v>
      </c>
    </row>
    <row r="271" spans="1:20" hidden="1" x14ac:dyDescent="0.35">
      <c r="A271" s="20">
        <v>46011</v>
      </c>
      <c r="B271">
        <v>8137335682</v>
      </c>
      <c r="C271" t="s">
        <v>78</v>
      </c>
      <c r="H271" s="1">
        <v>113275</v>
      </c>
      <c r="I271" s="1">
        <v>4925</v>
      </c>
      <c r="J271" s="1"/>
      <c r="L271" s="8">
        <v>89</v>
      </c>
      <c r="M271" s="16" t="s">
        <v>272</v>
      </c>
      <c r="N271" t="s">
        <v>307</v>
      </c>
      <c r="O271" t="s">
        <v>16</v>
      </c>
      <c r="R271" s="3">
        <v>2</v>
      </c>
      <c r="S271" t="s">
        <v>18</v>
      </c>
      <c r="T271" s="2">
        <v>434416.47000000009</v>
      </c>
    </row>
    <row r="272" spans="1:20" hidden="1" x14ac:dyDescent="0.35">
      <c r="A272" s="20">
        <v>46012</v>
      </c>
      <c r="B272">
        <v>8137335772</v>
      </c>
      <c r="C272" t="s">
        <v>151</v>
      </c>
      <c r="H272" s="1">
        <v>1157.99</v>
      </c>
      <c r="I272" s="1">
        <v>52.71</v>
      </c>
      <c r="J272" s="1"/>
      <c r="L272" s="8">
        <v>89</v>
      </c>
      <c r="M272" s="16" t="s">
        <v>297</v>
      </c>
      <c r="N272" t="s">
        <v>307</v>
      </c>
      <c r="O272" t="s">
        <v>16</v>
      </c>
      <c r="R272" s="3">
        <v>2</v>
      </c>
      <c r="S272" t="s">
        <v>18</v>
      </c>
      <c r="T272" s="2">
        <v>434416.47000000009</v>
      </c>
    </row>
    <row r="273" spans="1:20" hidden="1" x14ac:dyDescent="0.35">
      <c r="A273" s="20">
        <v>46012</v>
      </c>
      <c r="B273">
        <v>8137335966</v>
      </c>
      <c r="C273" t="s">
        <v>156</v>
      </c>
      <c r="H273" s="1">
        <v>15737</v>
      </c>
      <c r="I273" s="1">
        <v>684</v>
      </c>
      <c r="J273" s="1"/>
      <c r="L273" s="8">
        <v>89</v>
      </c>
      <c r="M273" s="17">
        <v>392813222231</v>
      </c>
      <c r="N273" t="s">
        <v>307</v>
      </c>
      <c r="O273" t="s">
        <v>16</v>
      </c>
      <c r="R273" s="3">
        <v>2</v>
      </c>
      <c r="S273" t="s">
        <v>18</v>
      </c>
      <c r="T273" s="2">
        <v>434416.47000000009</v>
      </c>
    </row>
    <row r="274" spans="1:20" hidden="1" x14ac:dyDescent="0.35">
      <c r="A274" s="20">
        <v>46012</v>
      </c>
      <c r="B274">
        <v>8137335974</v>
      </c>
      <c r="C274" t="s">
        <v>30</v>
      </c>
      <c r="H274" s="1">
        <v>15526</v>
      </c>
      <c r="I274" s="1">
        <v>77</v>
      </c>
      <c r="J274" s="1"/>
      <c r="L274" s="8">
        <v>89</v>
      </c>
      <c r="M274" s="16" t="s">
        <v>257</v>
      </c>
      <c r="N274" t="s">
        <v>307</v>
      </c>
      <c r="O274" t="s">
        <v>16</v>
      </c>
      <c r="R274" s="3">
        <v>2</v>
      </c>
      <c r="S274" t="s">
        <v>18</v>
      </c>
      <c r="T274" s="2">
        <v>434416.47000000009</v>
      </c>
    </row>
    <row r="275" spans="1:20" hidden="1" x14ac:dyDescent="0.35">
      <c r="A275" s="20">
        <v>46012</v>
      </c>
      <c r="B275">
        <v>8137336161</v>
      </c>
      <c r="C275" t="s">
        <v>27</v>
      </c>
      <c r="H275" s="1">
        <v>7475</v>
      </c>
      <c r="I275" s="1">
        <v>325</v>
      </c>
      <c r="J275" s="1"/>
      <c r="L275" s="8">
        <v>89</v>
      </c>
      <c r="M275" s="16" t="s">
        <v>255</v>
      </c>
      <c r="N275" t="s">
        <v>307</v>
      </c>
      <c r="O275" t="s">
        <v>16</v>
      </c>
      <c r="R275" s="3">
        <v>2</v>
      </c>
      <c r="S275" t="s">
        <v>18</v>
      </c>
      <c r="T275" s="2">
        <v>434416.47000000009</v>
      </c>
    </row>
    <row r="276" spans="1:20" hidden="1" x14ac:dyDescent="0.35">
      <c r="A276" s="20">
        <v>46012</v>
      </c>
      <c r="B276">
        <v>8137336309</v>
      </c>
      <c r="C276" t="s">
        <v>90</v>
      </c>
      <c r="H276" s="1">
        <v>15525</v>
      </c>
      <c r="I276" s="1">
        <v>675</v>
      </c>
      <c r="J276" s="1"/>
      <c r="L276" s="8">
        <v>89</v>
      </c>
      <c r="M276" s="16" t="s">
        <v>275</v>
      </c>
      <c r="N276" t="s">
        <v>307</v>
      </c>
      <c r="O276" t="s">
        <v>16</v>
      </c>
      <c r="R276" s="3">
        <v>2</v>
      </c>
      <c r="S276" t="s">
        <v>18</v>
      </c>
      <c r="T276" s="2">
        <v>434416.47000000009</v>
      </c>
    </row>
    <row r="277" spans="1:20" hidden="1" x14ac:dyDescent="0.35">
      <c r="A277" s="20">
        <v>46012</v>
      </c>
      <c r="B277">
        <v>8137336681</v>
      </c>
      <c r="C277" t="s">
        <v>78</v>
      </c>
      <c r="H277" s="1">
        <v>189750</v>
      </c>
      <c r="I277" s="1">
        <v>8250</v>
      </c>
      <c r="J277" s="1"/>
      <c r="L277" s="8">
        <v>89</v>
      </c>
      <c r="M277" s="16" t="s">
        <v>272</v>
      </c>
      <c r="N277" t="s">
        <v>307</v>
      </c>
      <c r="O277" t="s">
        <v>16</v>
      </c>
      <c r="R277" s="3">
        <v>2</v>
      </c>
      <c r="S277" t="s">
        <v>18</v>
      </c>
      <c r="T277" s="2">
        <v>434416.47000000009</v>
      </c>
    </row>
    <row r="278" spans="1:20" hidden="1" x14ac:dyDescent="0.35">
      <c r="A278" s="20">
        <v>46013</v>
      </c>
      <c r="B278">
        <v>8137336757</v>
      </c>
      <c r="C278" t="s">
        <v>113</v>
      </c>
      <c r="H278" s="1">
        <v>737854.95</v>
      </c>
      <c r="I278" s="1">
        <v>32080</v>
      </c>
      <c r="J278" s="1"/>
      <c r="L278" s="8">
        <v>89</v>
      </c>
      <c r="M278" s="16" t="s">
        <v>285</v>
      </c>
      <c r="N278" t="s">
        <v>307</v>
      </c>
      <c r="O278" t="s">
        <v>16</v>
      </c>
      <c r="R278" s="3">
        <v>2</v>
      </c>
      <c r="S278" t="s">
        <v>18</v>
      </c>
      <c r="T278" s="2">
        <v>434416.47000000009</v>
      </c>
    </row>
    <row r="279" spans="1:20" hidden="1" x14ac:dyDescent="0.35">
      <c r="A279" s="20">
        <v>46013</v>
      </c>
      <c r="B279">
        <v>8137337102</v>
      </c>
      <c r="C279" t="s">
        <v>102</v>
      </c>
      <c r="H279" s="1">
        <v>82514</v>
      </c>
      <c r="I279" s="1">
        <v>3589</v>
      </c>
      <c r="J279" s="1"/>
      <c r="L279" s="8">
        <v>89</v>
      </c>
      <c r="M279" s="16" t="s">
        <v>279</v>
      </c>
      <c r="N279" t="s">
        <v>307</v>
      </c>
      <c r="O279" t="s">
        <v>16</v>
      </c>
      <c r="R279" s="3">
        <v>2</v>
      </c>
      <c r="S279" t="s">
        <v>18</v>
      </c>
      <c r="T279" s="2">
        <v>434416.47000000009</v>
      </c>
    </row>
    <row r="280" spans="1:20" hidden="1" x14ac:dyDescent="0.35">
      <c r="A280" s="20">
        <v>46013</v>
      </c>
      <c r="B280">
        <v>8137337103</v>
      </c>
      <c r="C280" t="s">
        <v>103</v>
      </c>
      <c r="H280" s="1">
        <v>7216</v>
      </c>
      <c r="I280" s="1">
        <v>313.75</v>
      </c>
      <c r="J280" s="1"/>
      <c r="L280" s="8">
        <v>89</v>
      </c>
      <c r="M280" s="16" t="s">
        <v>280</v>
      </c>
      <c r="N280" t="s">
        <v>307</v>
      </c>
      <c r="O280" t="s">
        <v>16</v>
      </c>
      <c r="R280" s="3">
        <v>2</v>
      </c>
      <c r="S280" t="s">
        <v>18</v>
      </c>
      <c r="T280" s="2">
        <v>434416.47000000009</v>
      </c>
    </row>
    <row r="281" spans="1:20" hidden="1" x14ac:dyDescent="0.35">
      <c r="A281" s="20">
        <v>46014</v>
      </c>
      <c r="B281">
        <v>8137337302</v>
      </c>
      <c r="C281" t="s">
        <v>27</v>
      </c>
      <c r="H281" s="1">
        <v>78775</v>
      </c>
      <c r="I281" s="1">
        <v>3425</v>
      </c>
      <c r="J281" s="1"/>
      <c r="L281" s="8">
        <v>89</v>
      </c>
      <c r="M281" s="16" t="s">
        <v>255</v>
      </c>
      <c r="N281" t="s">
        <v>307</v>
      </c>
      <c r="O281" t="s">
        <v>16</v>
      </c>
      <c r="R281" s="3">
        <v>2</v>
      </c>
      <c r="S281" t="s">
        <v>18</v>
      </c>
      <c r="T281" s="2">
        <v>434416.47000000009</v>
      </c>
    </row>
    <row r="282" spans="1:20" hidden="1" x14ac:dyDescent="0.35">
      <c r="A282" s="20">
        <v>46014</v>
      </c>
      <c r="B282">
        <v>8137337308</v>
      </c>
      <c r="C282" t="s">
        <v>107</v>
      </c>
      <c r="H282" s="1">
        <v>18400</v>
      </c>
      <c r="I282" s="1">
        <v>800</v>
      </c>
      <c r="J282" s="1"/>
      <c r="L282" s="8">
        <v>89</v>
      </c>
      <c r="M282" s="16" t="s">
        <v>282</v>
      </c>
      <c r="N282" t="s">
        <v>307</v>
      </c>
      <c r="O282" t="s">
        <v>16</v>
      </c>
      <c r="R282" s="3">
        <v>2</v>
      </c>
      <c r="S282" t="s">
        <v>18</v>
      </c>
      <c r="T282" s="2">
        <v>434416.47000000009</v>
      </c>
    </row>
    <row r="283" spans="1:20" hidden="1" x14ac:dyDescent="0.35">
      <c r="A283" s="20">
        <v>46014</v>
      </c>
      <c r="B283">
        <v>8137337436</v>
      </c>
      <c r="C283" t="s">
        <v>160</v>
      </c>
      <c r="H283" s="1">
        <v>19368.300000000003</v>
      </c>
      <c r="I283" s="1">
        <v>842</v>
      </c>
      <c r="J283" s="1"/>
      <c r="L283" s="8">
        <v>89</v>
      </c>
      <c r="M283" s="17">
        <v>154811670564</v>
      </c>
      <c r="N283" t="s">
        <v>307</v>
      </c>
      <c r="O283" t="s">
        <v>16</v>
      </c>
      <c r="R283" s="3">
        <v>2</v>
      </c>
      <c r="S283" t="s">
        <v>18</v>
      </c>
      <c r="T283" s="2">
        <v>434416.47000000009</v>
      </c>
    </row>
    <row r="284" spans="1:20" hidden="1" x14ac:dyDescent="0.35">
      <c r="A284" s="20">
        <v>46014</v>
      </c>
      <c r="B284">
        <v>8137337484</v>
      </c>
      <c r="C284" t="s">
        <v>28</v>
      </c>
      <c r="H284" s="1">
        <v>24750</v>
      </c>
      <c r="I284" s="1">
        <v>1125</v>
      </c>
      <c r="J284" s="1"/>
      <c r="L284" s="8">
        <v>89</v>
      </c>
      <c r="M284" s="16" t="s">
        <v>256</v>
      </c>
      <c r="N284" t="s">
        <v>307</v>
      </c>
      <c r="O284" t="s">
        <v>16</v>
      </c>
      <c r="R284" s="3">
        <v>2</v>
      </c>
      <c r="S284" t="s">
        <v>18</v>
      </c>
      <c r="T284" s="2">
        <v>434416.47000000009</v>
      </c>
    </row>
    <row r="285" spans="1:20" hidden="1" x14ac:dyDescent="0.35">
      <c r="A285" s="20">
        <v>46015</v>
      </c>
      <c r="B285">
        <v>8137340951</v>
      </c>
      <c r="C285" t="s">
        <v>110</v>
      </c>
      <c r="H285" s="1">
        <v>126615</v>
      </c>
      <c r="I285" s="1">
        <v>5505</v>
      </c>
      <c r="J285" s="1"/>
      <c r="L285" s="8">
        <v>89</v>
      </c>
      <c r="M285" s="16" t="s">
        <v>284</v>
      </c>
      <c r="N285" t="s">
        <v>307</v>
      </c>
      <c r="O285" t="s">
        <v>16</v>
      </c>
      <c r="R285" s="3">
        <v>2</v>
      </c>
      <c r="S285" t="s">
        <v>18</v>
      </c>
      <c r="T285" s="2">
        <v>434416.47000000009</v>
      </c>
    </row>
    <row r="286" spans="1:20" hidden="1" x14ac:dyDescent="0.35">
      <c r="A286" s="20">
        <v>46015</v>
      </c>
      <c r="B286">
        <v>8137341121</v>
      </c>
      <c r="C286" t="s">
        <v>145</v>
      </c>
      <c r="H286" s="1">
        <v>85675</v>
      </c>
      <c r="I286" s="1">
        <v>3725</v>
      </c>
      <c r="J286" s="1"/>
      <c r="L286" s="8">
        <v>89</v>
      </c>
      <c r="M286" s="16" t="s">
        <v>296</v>
      </c>
      <c r="N286" t="s">
        <v>307</v>
      </c>
      <c r="O286" t="s">
        <v>16</v>
      </c>
      <c r="R286" s="3">
        <v>2</v>
      </c>
      <c r="S286" t="s">
        <v>18</v>
      </c>
      <c r="T286" s="2">
        <v>434416.47000000009</v>
      </c>
    </row>
    <row r="287" spans="1:20" hidden="1" x14ac:dyDescent="0.35">
      <c r="A287" s="20">
        <v>46015</v>
      </c>
      <c r="B287">
        <v>8137341122</v>
      </c>
      <c r="C287" t="s">
        <v>163</v>
      </c>
      <c r="H287" s="1">
        <v>165500</v>
      </c>
      <c r="I287" s="1">
        <v>8275</v>
      </c>
      <c r="J287" s="1"/>
      <c r="L287" s="8">
        <v>89</v>
      </c>
      <c r="M287" s="16" t="s">
        <v>301</v>
      </c>
      <c r="N287" t="s">
        <v>307</v>
      </c>
      <c r="O287" t="s">
        <v>16</v>
      </c>
      <c r="R287" s="3">
        <v>2</v>
      </c>
      <c r="S287" t="s">
        <v>18</v>
      </c>
      <c r="T287" s="2">
        <v>434416.47000000009</v>
      </c>
    </row>
    <row r="288" spans="1:20" hidden="1" x14ac:dyDescent="0.35">
      <c r="A288" s="20">
        <v>46019</v>
      </c>
      <c r="B288">
        <v>8137341455</v>
      </c>
      <c r="C288" t="s">
        <v>132</v>
      </c>
      <c r="H288" s="1">
        <v>47211</v>
      </c>
      <c r="I288" s="1">
        <v>2052</v>
      </c>
      <c r="J288" s="1"/>
      <c r="L288" s="8">
        <v>89</v>
      </c>
      <c r="M288" s="16" t="s">
        <v>293</v>
      </c>
      <c r="N288" t="s">
        <v>307</v>
      </c>
      <c r="O288" t="s">
        <v>16</v>
      </c>
      <c r="R288" s="3">
        <v>2</v>
      </c>
      <c r="S288" t="s">
        <v>18</v>
      </c>
      <c r="T288" s="2">
        <v>434416.47000000009</v>
      </c>
    </row>
    <row r="289" spans="1:20" hidden="1" x14ac:dyDescent="0.35">
      <c r="A289" s="20">
        <v>46019</v>
      </c>
      <c r="B289">
        <v>8137341503</v>
      </c>
      <c r="C289" t="s">
        <v>135</v>
      </c>
      <c r="H289" s="1">
        <v>101200</v>
      </c>
      <c r="I289" s="1">
        <v>4400</v>
      </c>
      <c r="J289" s="1"/>
      <c r="L289" s="8">
        <v>89</v>
      </c>
      <c r="M289" s="17" t="s">
        <v>294</v>
      </c>
      <c r="N289" t="s">
        <v>307</v>
      </c>
      <c r="O289" t="s">
        <v>16</v>
      </c>
      <c r="R289" s="3">
        <v>2</v>
      </c>
      <c r="S289" t="s">
        <v>18</v>
      </c>
      <c r="T289" s="2">
        <v>434416.47000000009</v>
      </c>
    </row>
    <row r="290" spans="1:20" hidden="1" x14ac:dyDescent="0.35">
      <c r="A290" s="20">
        <v>46019</v>
      </c>
      <c r="B290">
        <v>8137341504</v>
      </c>
      <c r="C290" t="s">
        <v>165</v>
      </c>
      <c r="H290" s="1">
        <v>37950</v>
      </c>
      <c r="I290" s="1">
        <v>1650</v>
      </c>
      <c r="J290" s="1"/>
      <c r="L290" s="8">
        <v>89</v>
      </c>
      <c r="M290" s="17">
        <v>330632255045</v>
      </c>
      <c r="N290" t="s">
        <v>307</v>
      </c>
      <c r="O290" t="s">
        <v>16</v>
      </c>
      <c r="R290" s="3">
        <v>2</v>
      </c>
      <c r="S290" t="s">
        <v>18</v>
      </c>
      <c r="T290" s="2">
        <v>434416.47000000009</v>
      </c>
    </row>
    <row r="291" spans="1:20" hidden="1" x14ac:dyDescent="0.35">
      <c r="A291" s="20">
        <v>46019</v>
      </c>
      <c r="B291">
        <v>8137341646</v>
      </c>
      <c r="C291" t="s">
        <v>78</v>
      </c>
      <c r="H291" s="1">
        <v>88550</v>
      </c>
      <c r="I291" s="1">
        <v>3850</v>
      </c>
      <c r="J291" s="1"/>
      <c r="L291" s="8">
        <v>89</v>
      </c>
      <c r="M291" s="16" t="s">
        <v>272</v>
      </c>
      <c r="N291" t="s">
        <v>307</v>
      </c>
      <c r="O291" t="s">
        <v>16</v>
      </c>
      <c r="R291" s="3">
        <v>2</v>
      </c>
      <c r="S291" t="s">
        <v>18</v>
      </c>
      <c r="T291" s="2">
        <v>434416.47000000009</v>
      </c>
    </row>
    <row r="292" spans="1:20" hidden="1" x14ac:dyDescent="0.35">
      <c r="A292" s="20">
        <v>46019</v>
      </c>
      <c r="B292">
        <v>8137341922</v>
      </c>
      <c r="C292" t="s">
        <v>55</v>
      </c>
      <c r="H292" s="1">
        <v>33021</v>
      </c>
      <c r="I292" s="1">
        <v>165</v>
      </c>
      <c r="J292" s="1"/>
      <c r="L292" s="8">
        <v>89</v>
      </c>
      <c r="M292" s="17">
        <v>138284678178</v>
      </c>
      <c r="N292" t="s">
        <v>307</v>
      </c>
      <c r="O292" t="s">
        <v>16</v>
      </c>
      <c r="R292" s="3">
        <v>2</v>
      </c>
      <c r="S292" t="s">
        <v>18</v>
      </c>
      <c r="T292" s="2">
        <v>434416.47000000009</v>
      </c>
    </row>
    <row r="293" spans="1:20" hidden="1" x14ac:dyDescent="0.35">
      <c r="A293" s="20">
        <v>46019</v>
      </c>
      <c r="B293">
        <v>8137341923</v>
      </c>
      <c r="C293" t="s">
        <v>55</v>
      </c>
      <c r="H293" s="1">
        <v>39624.75</v>
      </c>
      <c r="I293" s="1">
        <v>1800.5</v>
      </c>
      <c r="J293" s="1"/>
      <c r="L293" s="8">
        <v>89</v>
      </c>
      <c r="M293" s="17">
        <v>138284678178</v>
      </c>
      <c r="N293" t="s">
        <v>307</v>
      </c>
      <c r="O293" t="s">
        <v>16</v>
      </c>
      <c r="R293" s="3">
        <v>2</v>
      </c>
      <c r="S293" t="s">
        <v>18</v>
      </c>
      <c r="T293" s="2">
        <v>434416.47000000009</v>
      </c>
    </row>
    <row r="294" spans="1:20" hidden="1" x14ac:dyDescent="0.35">
      <c r="A294" s="20">
        <v>46019</v>
      </c>
      <c r="B294">
        <v>8137342039</v>
      </c>
      <c r="C294" t="s">
        <v>64</v>
      </c>
      <c r="H294" s="1">
        <v>14375</v>
      </c>
      <c r="I294" s="1">
        <v>625</v>
      </c>
      <c r="J294" s="1"/>
      <c r="L294" s="8">
        <v>89</v>
      </c>
      <c r="M294" s="16" t="s">
        <v>267</v>
      </c>
      <c r="N294" t="s">
        <v>307</v>
      </c>
      <c r="O294" t="s">
        <v>16</v>
      </c>
      <c r="R294" s="3">
        <v>2</v>
      </c>
      <c r="S294" t="s">
        <v>18</v>
      </c>
      <c r="T294" s="2">
        <v>434416.47000000009</v>
      </c>
    </row>
    <row r="295" spans="1:20" hidden="1" x14ac:dyDescent="0.35">
      <c r="A295" s="20">
        <v>46019</v>
      </c>
      <c r="B295">
        <v>8137342197</v>
      </c>
      <c r="C295" t="s">
        <v>135</v>
      </c>
      <c r="H295" s="1">
        <v>17825</v>
      </c>
      <c r="I295" s="1">
        <v>775</v>
      </c>
      <c r="J295" s="1"/>
      <c r="L295" s="8">
        <v>89</v>
      </c>
      <c r="M295" s="16" t="s">
        <v>294</v>
      </c>
      <c r="N295" t="s">
        <v>307</v>
      </c>
      <c r="O295" t="s">
        <v>16</v>
      </c>
      <c r="R295" s="3">
        <v>2</v>
      </c>
      <c r="S295" t="s">
        <v>18</v>
      </c>
      <c r="T295" s="2">
        <v>434416.47000000009</v>
      </c>
    </row>
    <row r="296" spans="1:20" hidden="1" x14ac:dyDescent="0.35">
      <c r="A296" s="20">
        <v>46019</v>
      </c>
      <c r="B296">
        <v>8137342231</v>
      </c>
      <c r="C296" t="s">
        <v>168</v>
      </c>
      <c r="H296" s="1">
        <v>40250</v>
      </c>
      <c r="I296" s="1">
        <v>1750</v>
      </c>
      <c r="J296" s="1"/>
      <c r="L296" s="8">
        <v>89</v>
      </c>
      <c r="M296" s="17">
        <v>755504448351</v>
      </c>
      <c r="N296" t="s">
        <v>307</v>
      </c>
      <c r="O296" t="s">
        <v>16</v>
      </c>
      <c r="R296" s="3">
        <v>2</v>
      </c>
      <c r="S296" t="s">
        <v>18</v>
      </c>
      <c r="T296" s="2">
        <v>434416.47000000009</v>
      </c>
    </row>
    <row r="297" spans="1:20" hidden="1" x14ac:dyDescent="0.35">
      <c r="A297" s="20">
        <v>46019</v>
      </c>
      <c r="B297">
        <v>8137342252</v>
      </c>
      <c r="C297" t="s">
        <v>30</v>
      </c>
      <c r="H297" s="1">
        <v>31374</v>
      </c>
      <c r="I297" s="1">
        <v>158</v>
      </c>
      <c r="J297" s="1"/>
      <c r="L297" s="8">
        <v>89</v>
      </c>
      <c r="M297" s="16" t="s">
        <v>257</v>
      </c>
      <c r="N297" t="s">
        <v>307</v>
      </c>
      <c r="O297" t="s">
        <v>16</v>
      </c>
      <c r="R297" s="3">
        <v>2</v>
      </c>
      <c r="S297" t="s">
        <v>18</v>
      </c>
      <c r="T297" s="2">
        <v>434416.47000000009</v>
      </c>
    </row>
    <row r="298" spans="1:20" hidden="1" x14ac:dyDescent="0.35">
      <c r="A298" s="20">
        <v>46019</v>
      </c>
      <c r="B298">
        <v>8137342359</v>
      </c>
      <c r="C298" t="s">
        <v>59</v>
      </c>
      <c r="H298" s="1">
        <v>20528</v>
      </c>
      <c r="I298" s="1">
        <v>892.5</v>
      </c>
      <c r="J298" s="1"/>
      <c r="L298" s="8">
        <v>89</v>
      </c>
      <c r="M298" s="16" t="s">
        <v>264</v>
      </c>
      <c r="N298" t="s">
        <v>307</v>
      </c>
      <c r="O298" t="s">
        <v>16</v>
      </c>
      <c r="R298" s="3">
        <v>2</v>
      </c>
      <c r="S298" t="s">
        <v>18</v>
      </c>
      <c r="T298" s="2">
        <v>434416.47000000009</v>
      </c>
    </row>
    <row r="299" spans="1:20" hidden="1" x14ac:dyDescent="0.35">
      <c r="A299" s="20">
        <v>46020</v>
      </c>
      <c r="B299">
        <v>8137342918</v>
      </c>
      <c r="C299" t="s">
        <v>102</v>
      </c>
      <c r="H299" s="1">
        <v>19205</v>
      </c>
      <c r="I299" s="1">
        <v>835</v>
      </c>
      <c r="J299" s="1"/>
      <c r="L299" s="8">
        <v>89</v>
      </c>
      <c r="M299" s="16" t="s">
        <v>279</v>
      </c>
      <c r="N299" t="s">
        <v>307</v>
      </c>
      <c r="O299" t="s">
        <v>16</v>
      </c>
      <c r="R299" s="3">
        <v>2</v>
      </c>
      <c r="S299" t="s">
        <v>18</v>
      </c>
      <c r="T299" s="2">
        <v>434416.47000000009</v>
      </c>
    </row>
    <row r="300" spans="1:20" hidden="1" x14ac:dyDescent="0.35">
      <c r="A300" s="20">
        <v>46020</v>
      </c>
      <c r="B300">
        <v>8137343026</v>
      </c>
      <c r="C300" t="s">
        <v>171</v>
      </c>
      <c r="H300" s="1">
        <v>377564.55000000005</v>
      </c>
      <c r="I300" s="1">
        <v>16416</v>
      </c>
      <c r="J300" s="1"/>
      <c r="L300" s="8">
        <v>89</v>
      </c>
      <c r="M300" s="16" t="s">
        <v>302</v>
      </c>
      <c r="N300" t="s">
        <v>307</v>
      </c>
      <c r="O300" t="s">
        <v>16</v>
      </c>
      <c r="R300" s="3">
        <v>2</v>
      </c>
      <c r="S300" t="s">
        <v>18</v>
      </c>
      <c r="T300" s="2">
        <v>434416.47000000009</v>
      </c>
    </row>
    <row r="301" spans="1:20" hidden="1" x14ac:dyDescent="0.35">
      <c r="A301" s="20">
        <v>46020</v>
      </c>
      <c r="B301">
        <v>8137343049</v>
      </c>
      <c r="C301" t="s">
        <v>172</v>
      </c>
      <c r="H301" s="1">
        <v>65974.349999999991</v>
      </c>
      <c r="I301" s="1">
        <v>2869</v>
      </c>
      <c r="J301" s="1"/>
      <c r="L301" s="8">
        <v>89</v>
      </c>
      <c r="M301" s="16" t="s">
        <v>303</v>
      </c>
      <c r="N301" t="s">
        <v>307</v>
      </c>
      <c r="O301" t="s">
        <v>16</v>
      </c>
      <c r="R301" s="3">
        <v>2</v>
      </c>
      <c r="S301" t="s">
        <v>18</v>
      </c>
      <c r="T301" s="2">
        <v>434416.47000000009</v>
      </c>
    </row>
    <row r="302" spans="1:20" hidden="1" x14ac:dyDescent="0.35">
      <c r="A302" s="20">
        <v>46020</v>
      </c>
      <c r="B302">
        <v>8137343051</v>
      </c>
      <c r="C302" t="s">
        <v>173</v>
      </c>
      <c r="H302" s="1">
        <v>214261.1</v>
      </c>
      <c r="I302" s="1">
        <v>9316</v>
      </c>
      <c r="J302" s="1"/>
      <c r="L302" s="8">
        <v>89</v>
      </c>
      <c r="M302" s="16" t="s">
        <v>304</v>
      </c>
      <c r="N302" t="s">
        <v>307</v>
      </c>
      <c r="O302" t="s">
        <v>16</v>
      </c>
      <c r="R302" s="3">
        <v>2</v>
      </c>
      <c r="S302" t="s">
        <v>18</v>
      </c>
      <c r="T302" s="2">
        <v>434416.47000000009</v>
      </c>
    </row>
    <row r="303" spans="1:20" hidden="1" x14ac:dyDescent="0.35">
      <c r="A303" s="20">
        <v>46020</v>
      </c>
      <c r="B303">
        <v>8137343409</v>
      </c>
      <c r="C303" t="s">
        <v>107</v>
      </c>
      <c r="H303" s="1">
        <v>2990</v>
      </c>
      <c r="I303" s="1">
        <v>130</v>
      </c>
      <c r="J303" s="1"/>
      <c r="L303" s="8">
        <v>89</v>
      </c>
      <c r="M303" s="16" t="s">
        <v>282</v>
      </c>
      <c r="N303" t="s">
        <v>307</v>
      </c>
      <c r="O303" t="s">
        <v>16</v>
      </c>
      <c r="R303" s="3">
        <v>2</v>
      </c>
      <c r="S303" t="s">
        <v>18</v>
      </c>
      <c r="T303" s="2">
        <v>434416.47000000009</v>
      </c>
    </row>
    <row r="304" spans="1:20" hidden="1" x14ac:dyDescent="0.35">
      <c r="A304" s="20">
        <v>46020</v>
      </c>
      <c r="B304">
        <v>8137343410</v>
      </c>
      <c r="C304" t="s">
        <v>27</v>
      </c>
      <c r="H304" s="1">
        <v>5865</v>
      </c>
      <c r="I304" s="1">
        <v>255</v>
      </c>
      <c r="J304" s="1"/>
      <c r="L304" s="8">
        <v>89</v>
      </c>
      <c r="M304" s="16" t="s">
        <v>255</v>
      </c>
      <c r="N304" t="s">
        <v>307</v>
      </c>
      <c r="O304" t="s">
        <v>16</v>
      </c>
      <c r="R304" s="3">
        <v>2</v>
      </c>
      <c r="S304" t="s">
        <v>18</v>
      </c>
      <c r="T304" s="2">
        <v>434416.47000000009</v>
      </c>
    </row>
    <row r="305" spans="1:20" hidden="1" x14ac:dyDescent="0.35">
      <c r="A305" s="20">
        <v>46020</v>
      </c>
      <c r="B305">
        <v>8137343520</v>
      </c>
      <c r="C305" t="s">
        <v>35</v>
      </c>
      <c r="H305" s="1">
        <v>51750</v>
      </c>
      <c r="I305" s="1">
        <v>2250</v>
      </c>
      <c r="J305" s="1"/>
      <c r="L305" s="8">
        <v>89</v>
      </c>
      <c r="M305" s="16" t="s">
        <v>259</v>
      </c>
      <c r="N305" t="s">
        <v>307</v>
      </c>
      <c r="O305" t="s">
        <v>16</v>
      </c>
      <c r="R305" s="3">
        <v>2</v>
      </c>
      <c r="S305" t="s">
        <v>18</v>
      </c>
      <c r="T305" s="2">
        <v>434416.47000000009</v>
      </c>
    </row>
    <row r="306" spans="1:20" hidden="1" x14ac:dyDescent="0.35">
      <c r="A306" s="20">
        <v>46020</v>
      </c>
      <c r="B306">
        <v>8137343541</v>
      </c>
      <c r="C306" t="s">
        <v>40</v>
      </c>
      <c r="H306" s="1">
        <v>51750</v>
      </c>
      <c r="I306" s="1">
        <v>2250</v>
      </c>
      <c r="J306" s="1"/>
      <c r="L306" s="8">
        <v>89</v>
      </c>
      <c r="M306" s="17">
        <v>189741853542</v>
      </c>
      <c r="N306" t="s">
        <v>307</v>
      </c>
      <c r="O306" t="s">
        <v>16</v>
      </c>
      <c r="R306" s="3">
        <v>2</v>
      </c>
      <c r="S306" t="s">
        <v>18</v>
      </c>
      <c r="T306" s="2">
        <v>434416.47000000009</v>
      </c>
    </row>
    <row r="307" spans="1:20" hidden="1" x14ac:dyDescent="0.35">
      <c r="A307" s="20">
        <v>46021</v>
      </c>
      <c r="B307">
        <v>8137343583</v>
      </c>
      <c r="C307" t="s">
        <v>91</v>
      </c>
      <c r="H307" s="1">
        <v>84787.5</v>
      </c>
      <c r="I307" s="1">
        <v>4038</v>
      </c>
      <c r="J307" s="1"/>
      <c r="L307" s="8">
        <v>89</v>
      </c>
      <c r="M307" s="16" t="s">
        <v>276</v>
      </c>
      <c r="N307" t="s">
        <v>307</v>
      </c>
      <c r="O307" t="s">
        <v>16</v>
      </c>
      <c r="R307" s="3">
        <v>2</v>
      </c>
      <c r="S307" t="s">
        <v>18</v>
      </c>
      <c r="T307" s="2">
        <v>434416.47000000009</v>
      </c>
    </row>
    <row r="308" spans="1:20" hidden="1" x14ac:dyDescent="0.35">
      <c r="A308" s="20">
        <v>46021</v>
      </c>
      <c r="B308">
        <v>8137343740</v>
      </c>
      <c r="C308" t="s">
        <v>52</v>
      </c>
      <c r="H308" s="1">
        <v>46000</v>
      </c>
      <c r="I308" s="1">
        <v>2000</v>
      </c>
      <c r="J308" s="1"/>
      <c r="L308" s="8">
        <v>89</v>
      </c>
      <c r="M308" s="16" t="s">
        <v>262</v>
      </c>
      <c r="N308" t="s">
        <v>307</v>
      </c>
      <c r="O308" t="s">
        <v>16</v>
      </c>
      <c r="R308" s="3">
        <v>2</v>
      </c>
      <c r="S308" t="s">
        <v>18</v>
      </c>
      <c r="T308" s="2">
        <v>434416.47000000009</v>
      </c>
    </row>
    <row r="309" spans="1:20" hidden="1" x14ac:dyDescent="0.35">
      <c r="A309" s="20">
        <v>46021</v>
      </c>
      <c r="B309">
        <v>8137343741</v>
      </c>
      <c r="C309" t="s">
        <v>175</v>
      </c>
      <c r="H309" s="1">
        <v>18975</v>
      </c>
      <c r="I309" s="1">
        <v>825</v>
      </c>
      <c r="J309" s="1"/>
      <c r="L309" s="8">
        <v>89</v>
      </c>
      <c r="M309" s="16" t="s">
        <v>305</v>
      </c>
      <c r="N309" t="s">
        <v>307</v>
      </c>
      <c r="O309" t="s">
        <v>16</v>
      </c>
      <c r="R309" s="3">
        <v>2</v>
      </c>
      <c r="S309" t="s">
        <v>18</v>
      </c>
      <c r="T309" s="2">
        <v>434416.47000000009</v>
      </c>
    </row>
    <row r="310" spans="1:20" hidden="1" x14ac:dyDescent="0.35">
      <c r="A310" s="20">
        <v>46021</v>
      </c>
      <c r="B310">
        <v>8137343775</v>
      </c>
      <c r="C310" t="s">
        <v>70</v>
      </c>
      <c r="H310" s="1">
        <v>334880</v>
      </c>
      <c r="I310" s="1">
        <v>14560</v>
      </c>
      <c r="J310" s="1"/>
      <c r="L310" s="8">
        <v>89</v>
      </c>
      <c r="M310" s="16" t="s">
        <v>269</v>
      </c>
      <c r="N310" t="s">
        <v>307</v>
      </c>
      <c r="O310" t="s">
        <v>16</v>
      </c>
      <c r="R310" s="3">
        <v>2</v>
      </c>
      <c r="S310" t="s">
        <v>18</v>
      </c>
      <c r="T310" s="2">
        <v>434416.47000000009</v>
      </c>
    </row>
    <row r="311" spans="1:20" hidden="1" x14ac:dyDescent="0.35">
      <c r="A311" s="20">
        <v>46021</v>
      </c>
      <c r="B311">
        <v>8137343776</v>
      </c>
      <c r="C311" t="s">
        <v>178</v>
      </c>
      <c r="H311" s="1">
        <v>374718.3</v>
      </c>
      <c r="I311" s="1">
        <v>16292</v>
      </c>
      <c r="J311" s="1"/>
      <c r="L311" s="8">
        <v>89</v>
      </c>
      <c r="M311" s="16" t="s">
        <v>306</v>
      </c>
      <c r="N311" t="s">
        <v>307</v>
      </c>
      <c r="O311" t="s">
        <v>16</v>
      </c>
      <c r="R311" s="3">
        <v>2</v>
      </c>
      <c r="S311" t="s">
        <v>18</v>
      </c>
      <c r="T311" s="2">
        <v>434416.47000000009</v>
      </c>
    </row>
    <row r="312" spans="1:20" hidden="1" x14ac:dyDescent="0.35">
      <c r="A312" s="20">
        <v>45992</v>
      </c>
      <c r="B312">
        <v>8137320517</v>
      </c>
      <c r="C312" t="s">
        <v>308</v>
      </c>
      <c r="H312" s="1">
        <v>58179.7</v>
      </c>
      <c r="I312" s="1">
        <v>1248</v>
      </c>
      <c r="J312" s="1"/>
      <c r="L312" s="8">
        <v>90</v>
      </c>
      <c r="M312" s="16" t="s">
        <v>467</v>
      </c>
      <c r="N312" t="s">
        <v>584</v>
      </c>
      <c r="O312" t="s">
        <v>16</v>
      </c>
      <c r="R312" s="3">
        <v>1</v>
      </c>
      <c r="S312" t="s">
        <v>18</v>
      </c>
      <c r="T312" s="2">
        <v>411298.29</v>
      </c>
    </row>
    <row r="313" spans="1:20" hidden="1" x14ac:dyDescent="0.35">
      <c r="A313" s="20">
        <v>45992</v>
      </c>
      <c r="B313">
        <v>8137320518</v>
      </c>
      <c r="C313" t="s">
        <v>309</v>
      </c>
      <c r="H313" s="1">
        <v>114567.05</v>
      </c>
      <c r="I313" s="1">
        <v>1947</v>
      </c>
      <c r="J313" s="1"/>
      <c r="L313" s="8">
        <v>90</v>
      </c>
      <c r="M313" s="16" t="s">
        <v>468</v>
      </c>
      <c r="N313" t="s">
        <v>584</v>
      </c>
      <c r="O313" t="s">
        <v>16</v>
      </c>
      <c r="R313" s="3">
        <v>1</v>
      </c>
      <c r="S313" t="s">
        <v>18</v>
      </c>
      <c r="T313" s="2">
        <v>411298.29</v>
      </c>
    </row>
    <row r="314" spans="1:20" hidden="1" x14ac:dyDescent="0.35">
      <c r="A314" s="20">
        <v>45992</v>
      </c>
      <c r="B314">
        <v>8137320521</v>
      </c>
      <c r="C314" t="s">
        <v>310</v>
      </c>
      <c r="H314" s="1">
        <v>129436.05</v>
      </c>
      <c r="I314" s="1">
        <v>1947</v>
      </c>
      <c r="J314" s="1"/>
      <c r="L314" s="8">
        <v>90</v>
      </c>
      <c r="M314" s="16" t="s">
        <v>469</v>
      </c>
      <c r="N314" t="s">
        <v>585</v>
      </c>
      <c r="O314" t="s">
        <v>16</v>
      </c>
      <c r="R314" s="3">
        <v>1</v>
      </c>
      <c r="S314" t="s">
        <v>18</v>
      </c>
      <c r="T314" s="2">
        <v>519844.76</v>
      </c>
    </row>
    <row r="315" spans="1:20" hidden="1" x14ac:dyDescent="0.35">
      <c r="A315" s="20">
        <v>45992</v>
      </c>
      <c r="B315">
        <v>8137320522</v>
      </c>
      <c r="C315" t="s">
        <v>311</v>
      </c>
      <c r="H315" s="1">
        <v>63290.05</v>
      </c>
      <c r="I315" s="1">
        <v>1256</v>
      </c>
      <c r="J315" s="1"/>
      <c r="L315" s="8">
        <v>90</v>
      </c>
      <c r="M315" s="16" t="s">
        <v>470</v>
      </c>
      <c r="N315" t="s">
        <v>584</v>
      </c>
      <c r="O315" t="s">
        <v>16</v>
      </c>
      <c r="R315" s="3">
        <v>1</v>
      </c>
      <c r="S315" t="s">
        <v>18</v>
      </c>
      <c r="T315" s="2">
        <v>411298.29</v>
      </c>
    </row>
    <row r="316" spans="1:20" hidden="1" x14ac:dyDescent="0.35">
      <c r="A316" s="20">
        <v>45992</v>
      </c>
      <c r="B316">
        <v>8137320523</v>
      </c>
      <c r="C316" t="s">
        <v>312</v>
      </c>
      <c r="H316" s="1">
        <v>92588.85</v>
      </c>
      <c r="I316" s="1">
        <v>1579</v>
      </c>
      <c r="J316" s="1"/>
      <c r="L316" s="8">
        <v>90</v>
      </c>
      <c r="M316" s="16" t="s">
        <v>471</v>
      </c>
      <c r="N316" t="s">
        <v>584</v>
      </c>
      <c r="O316" t="s">
        <v>16</v>
      </c>
      <c r="R316" s="3">
        <v>1</v>
      </c>
      <c r="S316" t="s">
        <v>18</v>
      </c>
      <c r="T316" s="2">
        <v>411298.29</v>
      </c>
    </row>
    <row r="317" spans="1:20" hidden="1" x14ac:dyDescent="0.35">
      <c r="A317" s="20">
        <v>45992</v>
      </c>
      <c r="B317">
        <v>8137320596</v>
      </c>
      <c r="C317" t="s">
        <v>313</v>
      </c>
      <c r="H317" s="1">
        <v>28023.200000000001</v>
      </c>
      <c r="I317" s="1">
        <v>1218</v>
      </c>
      <c r="J317" s="1"/>
      <c r="L317" s="8">
        <v>90</v>
      </c>
      <c r="M317" s="16" t="s">
        <v>295</v>
      </c>
      <c r="N317" t="s">
        <v>585</v>
      </c>
      <c r="O317" t="s">
        <v>16</v>
      </c>
      <c r="R317" s="3">
        <v>1</v>
      </c>
      <c r="S317" t="s">
        <v>18</v>
      </c>
      <c r="T317" s="2">
        <v>519844.76</v>
      </c>
    </row>
    <row r="318" spans="1:20" hidden="1" x14ac:dyDescent="0.35">
      <c r="A318" s="20">
        <v>45992</v>
      </c>
      <c r="B318">
        <v>8137320602</v>
      </c>
      <c r="C318" t="s">
        <v>314</v>
      </c>
      <c r="H318" s="1">
        <v>7504.9</v>
      </c>
      <c r="I318" s="1">
        <v>326</v>
      </c>
      <c r="J318" s="1"/>
      <c r="L318" s="8">
        <v>90</v>
      </c>
      <c r="M318" s="16" t="s">
        <v>472</v>
      </c>
      <c r="N318" t="s">
        <v>584</v>
      </c>
      <c r="O318" t="s">
        <v>16</v>
      </c>
      <c r="R318" s="3">
        <v>1</v>
      </c>
      <c r="S318" t="s">
        <v>18</v>
      </c>
      <c r="T318" s="2">
        <v>411298.29</v>
      </c>
    </row>
    <row r="319" spans="1:20" hidden="1" x14ac:dyDescent="0.35">
      <c r="A319" s="20">
        <v>45992</v>
      </c>
      <c r="B319">
        <v>8137320620</v>
      </c>
      <c r="C319" t="s">
        <v>315</v>
      </c>
      <c r="H319" s="1">
        <v>52176.65</v>
      </c>
      <c r="I319" s="1">
        <v>2269</v>
      </c>
      <c r="J319" s="1"/>
      <c r="L319" s="8">
        <v>90</v>
      </c>
      <c r="M319" s="16" t="s">
        <v>473</v>
      </c>
      <c r="N319" t="s">
        <v>585</v>
      </c>
      <c r="O319" t="s">
        <v>16</v>
      </c>
      <c r="R319" s="3">
        <v>1</v>
      </c>
      <c r="S319" t="s">
        <v>18</v>
      </c>
      <c r="T319" s="2">
        <v>519844.76</v>
      </c>
    </row>
    <row r="320" spans="1:20" hidden="1" x14ac:dyDescent="0.35">
      <c r="A320" s="20">
        <v>45992</v>
      </c>
      <c r="B320">
        <v>8137320621</v>
      </c>
      <c r="C320" t="s">
        <v>174</v>
      </c>
      <c r="H320" s="1">
        <v>50080.2</v>
      </c>
      <c r="I320" s="1">
        <v>2177</v>
      </c>
      <c r="J320" s="1"/>
      <c r="L320" s="8">
        <v>90</v>
      </c>
      <c r="M320" s="16" t="s">
        <v>253</v>
      </c>
      <c r="N320" t="s">
        <v>584</v>
      </c>
      <c r="O320" t="s">
        <v>16</v>
      </c>
      <c r="R320" s="3">
        <v>1</v>
      </c>
      <c r="S320" t="s">
        <v>18</v>
      </c>
      <c r="T320" s="2">
        <v>411298.29</v>
      </c>
    </row>
    <row r="321" spans="1:20" hidden="1" x14ac:dyDescent="0.35">
      <c r="A321" s="20">
        <v>45992</v>
      </c>
      <c r="B321">
        <v>8137320627</v>
      </c>
      <c r="C321" t="s">
        <v>316</v>
      </c>
      <c r="H321" s="1">
        <v>4599</v>
      </c>
      <c r="I321" s="1">
        <v>88</v>
      </c>
      <c r="J321" s="1"/>
      <c r="L321" s="3">
        <v>90</v>
      </c>
      <c r="M321" s="16" t="s">
        <v>474</v>
      </c>
      <c r="N321" t="s">
        <v>584</v>
      </c>
      <c r="O321" t="s">
        <v>16</v>
      </c>
      <c r="R321" s="3">
        <v>1</v>
      </c>
      <c r="S321" t="s">
        <v>18</v>
      </c>
      <c r="T321" s="2">
        <v>411298.29</v>
      </c>
    </row>
    <row r="322" spans="1:20" hidden="1" x14ac:dyDescent="0.35">
      <c r="A322" s="20">
        <v>45992</v>
      </c>
      <c r="B322">
        <v>8137320629</v>
      </c>
      <c r="C322" t="s">
        <v>317</v>
      </c>
      <c r="H322" s="1">
        <v>168278.15</v>
      </c>
      <c r="I322" s="1">
        <v>4229</v>
      </c>
      <c r="J322" s="1"/>
      <c r="L322" s="8">
        <v>90</v>
      </c>
      <c r="M322" s="17" t="s">
        <v>475</v>
      </c>
      <c r="N322" t="s">
        <v>585</v>
      </c>
      <c r="O322" t="s">
        <v>16</v>
      </c>
      <c r="R322" s="3">
        <v>1</v>
      </c>
      <c r="S322" t="s">
        <v>18</v>
      </c>
      <c r="T322" s="2">
        <v>519844.76</v>
      </c>
    </row>
    <row r="323" spans="1:20" hidden="1" x14ac:dyDescent="0.35">
      <c r="A323" s="20">
        <v>45992</v>
      </c>
      <c r="B323">
        <v>8137320630</v>
      </c>
      <c r="C323" t="s">
        <v>318</v>
      </c>
      <c r="H323" s="1">
        <v>3612</v>
      </c>
      <c r="I323" s="1">
        <v>69</v>
      </c>
      <c r="J323" s="1"/>
      <c r="L323" s="8">
        <v>90</v>
      </c>
      <c r="M323" s="17" t="s">
        <v>476</v>
      </c>
      <c r="N323" t="s">
        <v>584</v>
      </c>
      <c r="O323" t="s">
        <v>16</v>
      </c>
      <c r="R323" s="3">
        <v>1</v>
      </c>
      <c r="S323" t="s">
        <v>18</v>
      </c>
      <c r="T323" s="2">
        <v>411298.29</v>
      </c>
    </row>
    <row r="324" spans="1:20" hidden="1" x14ac:dyDescent="0.35">
      <c r="A324" s="20">
        <v>45992</v>
      </c>
      <c r="B324">
        <v>8137320691</v>
      </c>
      <c r="C324" t="s">
        <v>319</v>
      </c>
      <c r="H324" s="1">
        <v>55684.15</v>
      </c>
      <c r="I324" s="1">
        <v>2421</v>
      </c>
      <c r="J324" s="1"/>
      <c r="L324" s="8">
        <v>90</v>
      </c>
      <c r="M324" s="17">
        <v>773259640141</v>
      </c>
      <c r="N324" t="s">
        <v>585</v>
      </c>
      <c r="O324" t="s">
        <v>16</v>
      </c>
      <c r="R324" s="3">
        <v>1</v>
      </c>
      <c r="S324" t="s">
        <v>18</v>
      </c>
      <c r="T324" s="2">
        <v>519844.76</v>
      </c>
    </row>
    <row r="325" spans="1:20" hidden="1" x14ac:dyDescent="0.35">
      <c r="A325" s="20">
        <v>45992</v>
      </c>
      <c r="B325">
        <v>8137320716</v>
      </c>
      <c r="C325" t="s">
        <v>320</v>
      </c>
      <c r="H325" s="1">
        <v>106722.3</v>
      </c>
      <c r="I325" s="1">
        <v>4640</v>
      </c>
      <c r="J325" s="1"/>
      <c r="L325" s="8">
        <v>90</v>
      </c>
      <c r="M325" s="17">
        <v>234433547094</v>
      </c>
      <c r="N325" t="s">
        <v>584</v>
      </c>
      <c r="O325" t="s">
        <v>16</v>
      </c>
      <c r="R325" s="3">
        <v>1</v>
      </c>
      <c r="S325" t="s">
        <v>18</v>
      </c>
      <c r="T325" s="2">
        <v>411298.29</v>
      </c>
    </row>
    <row r="326" spans="1:20" hidden="1" x14ac:dyDescent="0.35">
      <c r="A326" s="20">
        <v>45992</v>
      </c>
      <c r="B326">
        <v>8137320750</v>
      </c>
      <c r="C326" t="s">
        <v>321</v>
      </c>
      <c r="H326" s="1">
        <v>105636.85</v>
      </c>
      <c r="I326" s="1">
        <v>1579</v>
      </c>
      <c r="J326" s="1"/>
      <c r="L326" s="8">
        <v>90</v>
      </c>
      <c r="M326" s="16" t="s">
        <v>477</v>
      </c>
      <c r="N326" t="s">
        <v>584</v>
      </c>
      <c r="O326" t="s">
        <v>16</v>
      </c>
      <c r="R326" s="3">
        <v>1</v>
      </c>
      <c r="S326" t="s">
        <v>18</v>
      </c>
      <c r="T326" s="2">
        <v>411298.29</v>
      </c>
    </row>
    <row r="327" spans="1:20" hidden="1" x14ac:dyDescent="0.35">
      <c r="A327" s="20">
        <v>45992</v>
      </c>
      <c r="B327">
        <v>8137320751</v>
      </c>
      <c r="C327" t="s">
        <v>82</v>
      </c>
      <c r="H327" s="1">
        <v>215242.25</v>
      </c>
      <c r="I327" s="1">
        <v>6822</v>
      </c>
      <c r="J327" s="1"/>
      <c r="L327" s="8">
        <v>90</v>
      </c>
      <c r="M327" s="16" t="s">
        <v>213</v>
      </c>
      <c r="N327" t="s">
        <v>585</v>
      </c>
      <c r="O327" t="s">
        <v>16</v>
      </c>
      <c r="R327" s="3">
        <v>1</v>
      </c>
      <c r="S327" t="s">
        <v>18</v>
      </c>
      <c r="T327" s="2">
        <v>519844.76</v>
      </c>
    </row>
    <row r="328" spans="1:20" hidden="1" x14ac:dyDescent="0.35">
      <c r="A328" s="20">
        <v>45992</v>
      </c>
      <c r="B328">
        <v>8137320752</v>
      </c>
      <c r="C328" t="s">
        <v>322</v>
      </c>
      <c r="H328" s="1">
        <v>109051.9</v>
      </c>
      <c r="I328" s="1">
        <v>3526</v>
      </c>
      <c r="J328" s="1"/>
      <c r="L328" s="8">
        <v>90</v>
      </c>
      <c r="M328" s="16" t="s">
        <v>478</v>
      </c>
      <c r="N328" t="s">
        <v>584</v>
      </c>
      <c r="O328" t="s">
        <v>16</v>
      </c>
      <c r="R328" s="3">
        <v>1</v>
      </c>
      <c r="S328" t="s">
        <v>18</v>
      </c>
      <c r="T328" s="2">
        <v>411298.29</v>
      </c>
    </row>
    <row r="329" spans="1:20" hidden="1" x14ac:dyDescent="0.35">
      <c r="A329" s="20">
        <v>45992</v>
      </c>
      <c r="B329">
        <v>8137320756</v>
      </c>
      <c r="C329" t="s">
        <v>323</v>
      </c>
      <c r="H329" s="1">
        <v>93716.3</v>
      </c>
      <c r="I329" s="1">
        <v>1842</v>
      </c>
      <c r="J329" s="1"/>
      <c r="L329" s="8">
        <v>90</v>
      </c>
      <c r="M329" s="16" t="s">
        <v>479</v>
      </c>
      <c r="N329" t="s">
        <v>585</v>
      </c>
      <c r="O329" t="s">
        <v>16</v>
      </c>
      <c r="R329" s="3">
        <v>1</v>
      </c>
      <c r="S329" t="s">
        <v>18</v>
      </c>
      <c r="T329" s="2">
        <v>519844.76</v>
      </c>
    </row>
    <row r="330" spans="1:20" hidden="1" x14ac:dyDescent="0.35">
      <c r="A330" s="20">
        <v>45992</v>
      </c>
      <c r="B330">
        <v>8137320757</v>
      </c>
      <c r="C330" t="s">
        <v>324</v>
      </c>
      <c r="H330" s="1">
        <v>96052.05</v>
      </c>
      <c r="I330" s="1">
        <v>1947</v>
      </c>
      <c r="J330" s="1"/>
      <c r="L330" s="8">
        <v>90</v>
      </c>
      <c r="M330" s="16" t="s">
        <v>480</v>
      </c>
      <c r="N330" t="s">
        <v>585</v>
      </c>
      <c r="O330" t="s">
        <v>16</v>
      </c>
      <c r="R330" s="3">
        <v>1</v>
      </c>
      <c r="S330" t="s">
        <v>18</v>
      </c>
      <c r="T330" s="2">
        <v>519844.76</v>
      </c>
    </row>
    <row r="331" spans="1:20" hidden="1" x14ac:dyDescent="0.35">
      <c r="A331" s="20">
        <v>45992</v>
      </c>
      <c r="B331">
        <v>8137320800</v>
      </c>
      <c r="C331" t="s">
        <v>325</v>
      </c>
      <c r="H331" s="1">
        <v>3707.15</v>
      </c>
      <c r="I331" s="1">
        <v>70.61</v>
      </c>
      <c r="J331" s="1"/>
      <c r="L331" s="8">
        <v>90</v>
      </c>
      <c r="M331" s="16" t="s">
        <v>481</v>
      </c>
      <c r="N331" t="s">
        <v>585</v>
      </c>
      <c r="O331" t="s">
        <v>16</v>
      </c>
      <c r="R331" s="3">
        <v>1</v>
      </c>
      <c r="S331" t="s">
        <v>18</v>
      </c>
      <c r="T331" s="2">
        <v>519844.76</v>
      </c>
    </row>
    <row r="332" spans="1:20" hidden="1" x14ac:dyDescent="0.35">
      <c r="A332" s="20">
        <v>45992</v>
      </c>
      <c r="B332">
        <v>8137320802</v>
      </c>
      <c r="C332" t="s">
        <v>326</v>
      </c>
      <c r="H332" s="1">
        <v>41157.9</v>
      </c>
      <c r="I332" s="1">
        <v>1789.47</v>
      </c>
      <c r="J332" s="1"/>
      <c r="L332" s="8">
        <v>90</v>
      </c>
      <c r="M332" s="16" t="s">
        <v>482</v>
      </c>
      <c r="N332" t="s">
        <v>585</v>
      </c>
      <c r="O332" t="s">
        <v>16</v>
      </c>
      <c r="R332" s="3">
        <v>1</v>
      </c>
      <c r="S332" t="s">
        <v>18</v>
      </c>
      <c r="T332" s="2">
        <v>519844.76</v>
      </c>
    </row>
    <row r="333" spans="1:20" hidden="1" x14ac:dyDescent="0.35">
      <c r="A333" s="20">
        <v>45992</v>
      </c>
      <c r="B333">
        <v>8137320805</v>
      </c>
      <c r="C333" t="s">
        <v>327</v>
      </c>
      <c r="H333" s="1">
        <v>7980.37</v>
      </c>
      <c r="I333" s="1">
        <v>236.84</v>
      </c>
      <c r="J333" s="1"/>
      <c r="L333" s="8">
        <v>90</v>
      </c>
      <c r="M333" s="17">
        <v>360148198030</v>
      </c>
      <c r="N333" t="s">
        <v>585</v>
      </c>
      <c r="O333" t="s">
        <v>16</v>
      </c>
      <c r="R333" s="3">
        <v>1</v>
      </c>
      <c r="S333" t="s">
        <v>18</v>
      </c>
      <c r="T333" s="2">
        <v>519844.76</v>
      </c>
    </row>
    <row r="334" spans="1:20" hidden="1" x14ac:dyDescent="0.35">
      <c r="A334" s="20">
        <v>45992</v>
      </c>
      <c r="B334">
        <v>8137321062</v>
      </c>
      <c r="C334" t="s">
        <v>328</v>
      </c>
      <c r="H334" s="1">
        <v>91178.9</v>
      </c>
      <c r="I334" s="1">
        <v>3964</v>
      </c>
      <c r="J334" s="1"/>
      <c r="L334" s="8">
        <v>90</v>
      </c>
      <c r="M334" s="16" t="s">
        <v>483</v>
      </c>
      <c r="N334" t="s">
        <v>584</v>
      </c>
      <c r="O334" t="s">
        <v>16</v>
      </c>
      <c r="R334" s="3">
        <v>1</v>
      </c>
      <c r="S334" t="s">
        <v>18</v>
      </c>
      <c r="T334" s="2">
        <v>411298.29</v>
      </c>
    </row>
    <row r="335" spans="1:20" hidden="1" x14ac:dyDescent="0.35">
      <c r="A335" s="20">
        <v>45992</v>
      </c>
      <c r="B335">
        <v>8137321063</v>
      </c>
      <c r="C335" t="s">
        <v>329</v>
      </c>
      <c r="H335" s="1">
        <v>92920.000000000015</v>
      </c>
      <c r="I335" s="1">
        <v>4040</v>
      </c>
      <c r="J335" s="1"/>
      <c r="L335" s="8">
        <v>90</v>
      </c>
      <c r="M335" s="16" t="s">
        <v>484</v>
      </c>
      <c r="N335" t="s">
        <v>584</v>
      </c>
      <c r="O335" t="s">
        <v>16</v>
      </c>
      <c r="R335" s="3">
        <v>1</v>
      </c>
      <c r="S335" t="s">
        <v>18</v>
      </c>
      <c r="T335" s="2">
        <v>411298.29</v>
      </c>
    </row>
    <row r="336" spans="1:20" hidden="1" x14ac:dyDescent="0.35">
      <c r="A336" s="20">
        <v>45992</v>
      </c>
      <c r="B336">
        <v>8137321064</v>
      </c>
      <c r="C336" t="s">
        <v>330</v>
      </c>
      <c r="H336" s="1">
        <v>87532.25</v>
      </c>
      <c r="I336" s="1">
        <v>3806</v>
      </c>
      <c r="J336" s="1"/>
      <c r="L336" s="8">
        <v>90</v>
      </c>
      <c r="M336" s="16" t="s">
        <v>485</v>
      </c>
      <c r="N336" t="s">
        <v>585</v>
      </c>
      <c r="O336" t="s">
        <v>16</v>
      </c>
      <c r="R336" s="3">
        <v>1</v>
      </c>
      <c r="S336" t="s">
        <v>18</v>
      </c>
      <c r="T336" s="2">
        <v>519844.76</v>
      </c>
    </row>
    <row r="337" spans="1:20" hidden="1" x14ac:dyDescent="0.35">
      <c r="A337" s="20">
        <v>45992</v>
      </c>
      <c r="B337">
        <v>8137321065</v>
      </c>
      <c r="C337" t="s">
        <v>331</v>
      </c>
      <c r="H337" s="1">
        <v>122180.6</v>
      </c>
      <c r="I337" s="1">
        <v>5312</v>
      </c>
      <c r="J337" s="1"/>
      <c r="L337" s="8">
        <v>90</v>
      </c>
      <c r="M337" s="16" t="s">
        <v>486</v>
      </c>
      <c r="N337" t="s">
        <v>585</v>
      </c>
      <c r="O337" t="s">
        <v>16</v>
      </c>
      <c r="R337" s="3">
        <v>1</v>
      </c>
      <c r="S337" t="s">
        <v>18</v>
      </c>
      <c r="T337" s="2">
        <v>519844.76</v>
      </c>
    </row>
    <row r="338" spans="1:20" hidden="1" x14ac:dyDescent="0.35">
      <c r="A338" s="20">
        <v>45992</v>
      </c>
      <c r="B338">
        <v>8137321066</v>
      </c>
      <c r="C338" t="s">
        <v>332</v>
      </c>
      <c r="H338" s="1">
        <v>52883.9</v>
      </c>
      <c r="I338" s="1">
        <v>2299</v>
      </c>
      <c r="J338" s="1"/>
      <c r="L338" s="8">
        <v>90</v>
      </c>
      <c r="M338" s="16" t="s">
        <v>487</v>
      </c>
      <c r="N338" t="s">
        <v>585</v>
      </c>
      <c r="O338" t="s">
        <v>16</v>
      </c>
      <c r="R338" s="3">
        <v>1</v>
      </c>
      <c r="S338" t="s">
        <v>18</v>
      </c>
      <c r="T338" s="2">
        <v>519844.76</v>
      </c>
    </row>
    <row r="339" spans="1:20" hidden="1" x14ac:dyDescent="0.35">
      <c r="A339" s="20">
        <v>45992</v>
      </c>
      <c r="B339">
        <v>8137321073</v>
      </c>
      <c r="C339" t="s">
        <v>333</v>
      </c>
      <c r="H339" s="1">
        <v>113063.4</v>
      </c>
      <c r="I339" s="1">
        <v>4916</v>
      </c>
      <c r="J339" s="1"/>
      <c r="L339" s="8">
        <v>90</v>
      </c>
      <c r="M339" s="16" t="s">
        <v>488</v>
      </c>
      <c r="N339" t="s">
        <v>584</v>
      </c>
      <c r="O339" t="s">
        <v>16</v>
      </c>
      <c r="R339" s="3">
        <v>1</v>
      </c>
      <c r="S339" t="s">
        <v>18</v>
      </c>
      <c r="T339" s="2">
        <v>411298.29</v>
      </c>
    </row>
    <row r="340" spans="1:20" hidden="1" x14ac:dyDescent="0.35">
      <c r="A340" s="20">
        <v>45992</v>
      </c>
      <c r="B340">
        <v>8137321074</v>
      </c>
      <c r="C340" t="s">
        <v>334</v>
      </c>
      <c r="H340" s="1">
        <v>113063.4</v>
      </c>
      <c r="I340" s="1">
        <v>4916</v>
      </c>
      <c r="J340" s="1"/>
      <c r="L340" s="8">
        <v>90</v>
      </c>
      <c r="M340" s="16" t="s">
        <v>489</v>
      </c>
      <c r="N340" t="s">
        <v>584</v>
      </c>
      <c r="O340" t="s">
        <v>16</v>
      </c>
      <c r="R340" s="3">
        <v>1</v>
      </c>
      <c r="S340" t="s">
        <v>18</v>
      </c>
      <c r="T340" s="2">
        <v>411298.29</v>
      </c>
    </row>
    <row r="341" spans="1:20" hidden="1" x14ac:dyDescent="0.35">
      <c r="A341" s="20">
        <v>45992</v>
      </c>
      <c r="B341">
        <v>8137321075</v>
      </c>
      <c r="C341" t="s">
        <v>335</v>
      </c>
      <c r="H341" s="1">
        <v>54707.8</v>
      </c>
      <c r="I341" s="1">
        <v>2379</v>
      </c>
      <c r="J341" s="1"/>
      <c r="L341" s="8">
        <v>90</v>
      </c>
      <c r="M341" s="16" t="s">
        <v>490</v>
      </c>
      <c r="N341" t="s">
        <v>584</v>
      </c>
      <c r="O341" t="s">
        <v>16</v>
      </c>
      <c r="R341" s="3">
        <v>1</v>
      </c>
      <c r="S341" t="s">
        <v>18</v>
      </c>
      <c r="T341" s="2">
        <v>411298.29</v>
      </c>
    </row>
    <row r="342" spans="1:20" hidden="1" x14ac:dyDescent="0.35">
      <c r="A342" s="20">
        <v>45992</v>
      </c>
      <c r="B342">
        <v>8137321076</v>
      </c>
      <c r="C342" t="s">
        <v>336</v>
      </c>
      <c r="H342" s="1">
        <v>113063.4</v>
      </c>
      <c r="I342" s="1">
        <v>4916</v>
      </c>
      <c r="J342" s="1"/>
      <c r="L342" s="8">
        <v>90</v>
      </c>
      <c r="M342" s="16" t="s">
        <v>491</v>
      </c>
      <c r="N342" t="s">
        <v>584</v>
      </c>
      <c r="O342" t="s">
        <v>16</v>
      </c>
      <c r="R342" s="3">
        <v>1</v>
      </c>
      <c r="S342" t="s">
        <v>18</v>
      </c>
      <c r="T342" s="2">
        <v>411298.29</v>
      </c>
    </row>
    <row r="343" spans="1:20" hidden="1" x14ac:dyDescent="0.35">
      <c r="A343" s="20">
        <v>45992</v>
      </c>
      <c r="B343">
        <v>8137321078</v>
      </c>
      <c r="C343" t="s">
        <v>337</v>
      </c>
      <c r="H343" s="1">
        <v>56531.7</v>
      </c>
      <c r="I343" s="1">
        <v>2458</v>
      </c>
      <c r="J343" s="1"/>
      <c r="L343" s="8">
        <v>90</v>
      </c>
      <c r="M343" s="16" t="s">
        <v>492</v>
      </c>
      <c r="N343" t="s">
        <v>585</v>
      </c>
      <c r="O343" t="s">
        <v>16</v>
      </c>
      <c r="R343" s="3">
        <v>1</v>
      </c>
      <c r="S343" t="s">
        <v>18</v>
      </c>
      <c r="T343" s="2">
        <v>519844.76</v>
      </c>
    </row>
    <row r="344" spans="1:20" hidden="1" x14ac:dyDescent="0.35">
      <c r="A344" s="20">
        <v>45992</v>
      </c>
      <c r="B344">
        <v>8137321084</v>
      </c>
      <c r="C344" t="s">
        <v>338</v>
      </c>
      <c r="H344" s="1">
        <v>56531.7</v>
      </c>
      <c r="I344" s="1">
        <v>2458</v>
      </c>
      <c r="J344" s="1"/>
      <c r="L344" s="8">
        <v>90</v>
      </c>
      <c r="M344" s="16" t="s">
        <v>493</v>
      </c>
      <c r="N344" t="s">
        <v>584</v>
      </c>
      <c r="O344" t="s">
        <v>16</v>
      </c>
      <c r="R344" s="3">
        <v>1</v>
      </c>
      <c r="S344" t="s">
        <v>18</v>
      </c>
      <c r="T344" s="2">
        <v>411298.29</v>
      </c>
    </row>
    <row r="345" spans="1:20" hidden="1" x14ac:dyDescent="0.35">
      <c r="A345" s="20">
        <v>45992</v>
      </c>
      <c r="B345">
        <v>8137321106</v>
      </c>
      <c r="C345" t="s">
        <v>339</v>
      </c>
      <c r="H345" s="1">
        <v>130369.75</v>
      </c>
      <c r="I345" s="1">
        <v>5668</v>
      </c>
      <c r="J345" s="1"/>
      <c r="L345" s="8">
        <v>90</v>
      </c>
      <c r="M345" s="16" t="s">
        <v>494</v>
      </c>
      <c r="N345" t="s">
        <v>585</v>
      </c>
      <c r="O345" t="s">
        <v>16</v>
      </c>
      <c r="R345" s="3">
        <v>1</v>
      </c>
      <c r="S345" t="s">
        <v>18</v>
      </c>
      <c r="T345" s="2">
        <v>519844.76</v>
      </c>
    </row>
    <row r="346" spans="1:20" hidden="1" x14ac:dyDescent="0.35">
      <c r="A346" s="20">
        <v>45992</v>
      </c>
      <c r="B346">
        <v>8137321107</v>
      </c>
      <c r="C346" t="s">
        <v>340</v>
      </c>
      <c r="H346" s="1">
        <v>46000</v>
      </c>
      <c r="I346" s="1">
        <v>2000</v>
      </c>
      <c r="J346" s="1"/>
      <c r="L346" s="8">
        <v>90</v>
      </c>
      <c r="M346" s="17">
        <v>494793330871</v>
      </c>
      <c r="N346" t="s">
        <v>585</v>
      </c>
      <c r="O346" t="s">
        <v>16</v>
      </c>
      <c r="R346" s="3">
        <v>1</v>
      </c>
      <c r="S346" t="s">
        <v>18</v>
      </c>
      <c r="T346" s="2">
        <v>519844.76</v>
      </c>
    </row>
    <row r="347" spans="1:20" hidden="1" x14ac:dyDescent="0.35">
      <c r="A347" s="20">
        <v>45992</v>
      </c>
      <c r="B347">
        <v>8137321110</v>
      </c>
      <c r="C347" t="s">
        <v>341</v>
      </c>
      <c r="H347" s="1">
        <v>95631.7</v>
      </c>
      <c r="I347" s="1">
        <v>4158</v>
      </c>
      <c r="J347" s="1"/>
      <c r="L347" s="8">
        <v>90</v>
      </c>
      <c r="M347" s="16" t="s">
        <v>495</v>
      </c>
      <c r="N347" t="s">
        <v>584</v>
      </c>
      <c r="O347" t="s">
        <v>16</v>
      </c>
      <c r="R347" s="3">
        <v>1</v>
      </c>
      <c r="S347" t="s">
        <v>18</v>
      </c>
      <c r="T347" s="2">
        <v>411298.29</v>
      </c>
    </row>
    <row r="348" spans="1:20" hidden="1" x14ac:dyDescent="0.35">
      <c r="A348" s="20">
        <v>45992</v>
      </c>
      <c r="B348">
        <v>8137321114</v>
      </c>
      <c r="C348" t="s">
        <v>342</v>
      </c>
      <c r="H348" s="1">
        <v>94070</v>
      </c>
      <c r="I348" s="1">
        <v>4090</v>
      </c>
      <c r="J348" s="1"/>
      <c r="L348" s="8">
        <v>90</v>
      </c>
      <c r="M348" s="16" t="s">
        <v>496</v>
      </c>
      <c r="N348" t="s">
        <v>584</v>
      </c>
      <c r="O348" t="s">
        <v>16</v>
      </c>
      <c r="R348" s="3">
        <v>1</v>
      </c>
      <c r="S348" t="s">
        <v>18</v>
      </c>
      <c r="T348" s="2">
        <v>411298.29</v>
      </c>
    </row>
    <row r="349" spans="1:20" hidden="1" x14ac:dyDescent="0.35">
      <c r="A349" s="20">
        <v>45992</v>
      </c>
      <c r="B349">
        <v>8137321115</v>
      </c>
      <c r="C349" t="s">
        <v>343</v>
      </c>
      <c r="H349" s="1">
        <v>49631.7</v>
      </c>
      <c r="I349" s="1">
        <v>2158</v>
      </c>
      <c r="J349" s="1"/>
      <c r="L349" s="8">
        <v>90</v>
      </c>
      <c r="M349" s="16" t="s">
        <v>497</v>
      </c>
      <c r="N349" t="s">
        <v>585</v>
      </c>
      <c r="O349" t="s">
        <v>16</v>
      </c>
      <c r="R349" s="3">
        <v>1</v>
      </c>
      <c r="S349" t="s">
        <v>18</v>
      </c>
      <c r="T349" s="2">
        <v>519844.76</v>
      </c>
    </row>
    <row r="350" spans="1:20" hidden="1" x14ac:dyDescent="0.35">
      <c r="A350" s="20">
        <v>45992</v>
      </c>
      <c r="B350">
        <v>8137321116</v>
      </c>
      <c r="C350" t="s">
        <v>344</v>
      </c>
      <c r="H350" s="1">
        <v>46000</v>
      </c>
      <c r="I350" s="1">
        <v>2000</v>
      </c>
      <c r="J350" s="1"/>
      <c r="L350" s="8">
        <v>90</v>
      </c>
      <c r="M350" s="17" t="s">
        <v>498</v>
      </c>
      <c r="N350" t="s">
        <v>584</v>
      </c>
      <c r="O350" t="s">
        <v>16</v>
      </c>
      <c r="R350" s="3">
        <v>1</v>
      </c>
      <c r="S350" t="s">
        <v>18</v>
      </c>
      <c r="T350" s="2">
        <v>411298.29</v>
      </c>
    </row>
    <row r="351" spans="1:20" hidden="1" x14ac:dyDescent="0.35">
      <c r="A351" s="20">
        <v>45992</v>
      </c>
      <c r="B351">
        <v>8137321117</v>
      </c>
      <c r="C351" t="s">
        <v>345</v>
      </c>
      <c r="H351" s="1">
        <v>48420.75</v>
      </c>
      <c r="I351" s="1">
        <v>2105</v>
      </c>
      <c r="J351" s="1"/>
      <c r="L351" s="8">
        <v>90</v>
      </c>
      <c r="M351" s="17">
        <v>174863202527</v>
      </c>
      <c r="N351" t="s">
        <v>584</v>
      </c>
      <c r="O351" t="s">
        <v>16</v>
      </c>
      <c r="R351" s="3">
        <v>1</v>
      </c>
      <c r="S351" t="s">
        <v>18</v>
      </c>
      <c r="T351" s="2">
        <v>411298.29</v>
      </c>
    </row>
    <row r="352" spans="1:20" hidden="1" x14ac:dyDescent="0.35">
      <c r="A352" s="20">
        <v>45992</v>
      </c>
      <c r="B352">
        <v>8137321120</v>
      </c>
      <c r="C352" t="s">
        <v>346</v>
      </c>
      <c r="H352" s="1">
        <v>126500</v>
      </c>
      <c r="I352" s="1">
        <v>5500</v>
      </c>
      <c r="J352" s="1"/>
      <c r="L352" s="8">
        <v>90</v>
      </c>
      <c r="M352" s="17" t="s">
        <v>213</v>
      </c>
      <c r="N352" t="s">
        <v>585</v>
      </c>
      <c r="O352" t="s">
        <v>16</v>
      </c>
      <c r="R352" s="3">
        <v>1</v>
      </c>
      <c r="S352" t="s">
        <v>18</v>
      </c>
      <c r="T352" s="2">
        <v>519844.76</v>
      </c>
    </row>
    <row r="353" spans="1:20" hidden="1" x14ac:dyDescent="0.35">
      <c r="A353" s="20">
        <v>45992</v>
      </c>
      <c r="B353">
        <v>8137321133</v>
      </c>
      <c r="C353" t="s">
        <v>347</v>
      </c>
      <c r="H353" s="1">
        <v>4400</v>
      </c>
      <c r="I353" s="1">
        <v>400</v>
      </c>
      <c r="J353" s="1"/>
      <c r="L353" s="8">
        <v>90</v>
      </c>
      <c r="M353" s="17">
        <v>132143625960</v>
      </c>
      <c r="N353" t="s">
        <v>585</v>
      </c>
      <c r="O353" t="s">
        <v>16</v>
      </c>
      <c r="R353" s="3">
        <v>1</v>
      </c>
      <c r="S353" t="s">
        <v>18</v>
      </c>
      <c r="T353" s="2">
        <v>519844.76</v>
      </c>
    </row>
    <row r="354" spans="1:20" hidden="1" x14ac:dyDescent="0.35">
      <c r="A354" s="20">
        <v>45992</v>
      </c>
      <c r="B354">
        <v>8137321137</v>
      </c>
      <c r="C354" t="s">
        <v>348</v>
      </c>
      <c r="H354" s="1">
        <v>51545.3</v>
      </c>
      <c r="I354" s="1">
        <v>2241</v>
      </c>
      <c r="J354" s="1"/>
      <c r="L354" s="8">
        <v>90</v>
      </c>
      <c r="M354" s="17">
        <v>372477817851</v>
      </c>
      <c r="N354" t="s">
        <v>585</v>
      </c>
      <c r="O354" t="s">
        <v>16</v>
      </c>
      <c r="R354" s="3">
        <v>1</v>
      </c>
      <c r="S354" t="s">
        <v>18</v>
      </c>
      <c r="T354" s="2">
        <v>519844.76</v>
      </c>
    </row>
    <row r="355" spans="1:20" hidden="1" x14ac:dyDescent="0.35">
      <c r="A355" s="20">
        <v>45992</v>
      </c>
      <c r="B355">
        <v>8137321138</v>
      </c>
      <c r="C355" t="s">
        <v>349</v>
      </c>
      <c r="H355" s="1">
        <v>54357.05</v>
      </c>
      <c r="I355" s="1">
        <v>2363</v>
      </c>
      <c r="J355" s="1"/>
      <c r="L355" s="8">
        <v>90</v>
      </c>
      <c r="M355" s="17">
        <v>234197853976</v>
      </c>
      <c r="N355" t="s">
        <v>585</v>
      </c>
      <c r="O355" t="s">
        <v>16</v>
      </c>
      <c r="R355" s="3">
        <v>1</v>
      </c>
      <c r="S355" t="s">
        <v>18</v>
      </c>
      <c r="T355" s="2">
        <v>519844.76</v>
      </c>
    </row>
    <row r="356" spans="1:20" hidden="1" x14ac:dyDescent="0.35">
      <c r="A356" s="20">
        <v>45992</v>
      </c>
      <c r="B356">
        <v>8137321139</v>
      </c>
      <c r="C356" t="s">
        <v>350</v>
      </c>
      <c r="H356" s="1">
        <v>115000</v>
      </c>
      <c r="I356" s="1">
        <v>5000</v>
      </c>
      <c r="J356" s="1"/>
      <c r="L356" s="8">
        <v>90</v>
      </c>
      <c r="M356" s="17">
        <v>193657656758</v>
      </c>
      <c r="N356" t="s">
        <v>584</v>
      </c>
      <c r="O356" t="s">
        <v>16</v>
      </c>
      <c r="R356" s="3">
        <v>1</v>
      </c>
      <c r="S356" t="s">
        <v>18</v>
      </c>
      <c r="T356" s="2">
        <v>411298.29</v>
      </c>
    </row>
    <row r="357" spans="1:20" hidden="1" x14ac:dyDescent="0.35">
      <c r="A357" s="20">
        <v>45992</v>
      </c>
      <c r="B357">
        <v>8137321140</v>
      </c>
      <c r="C357" t="s">
        <v>351</v>
      </c>
      <c r="H357" s="1">
        <v>11896.5</v>
      </c>
      <c r="I357" s="1">
        <v>227</v>
      </c>
      <c r="J357" s="1"/>
      <c r="L357" s="8">
        <v>90</v>
      </c>
      <c r="M357" s="17">
        <v>827533226988</v>
      </c>
      <c r="N357" t="s">
        <v>585</v>
      </c>
      <c r="O357" t="s">
        <v>16</v>
      </c>
      <c r="R357" s="3">
        <v>1</v>
      </c>
      <c r="S357" t="s">
        <v>18</v>
      </c>
      <c r="T357" s="2">
        <v>519844.76</v>
      </c>
    </row>
    <row r="358" spans="1:20" hidden="1" x14ac:dyDescent="0.35">
      <c r="A358" s="20">
        <v>45992</v>
      </c>
      <c r="B358">
        <v>8137321141</v>
      </c>
      <c r="C358" t="s">
        <v>352</v>
      </c>
      <c r="H358" s="1">
        <v>40915.85</v>
      </c>
      <c r="I358" s="1">
        <v>1779</v>
      </c>
      <c r="J358" s="1"/>
      <c r="L358" s="8">
        <v>90</v>
      </c>
      <c r="M358" s="17">
        <v>567179614471</v>
      </c>
      <c r="N358" t="s">
        <v>585</v>
      </c>
      <c r="O358" t="s">
        <v>16</v>
      </c>
      <c r="R358" s="3">
        <v>1</v>
      </c>
      <c r="S358" t="s">
        <v>18</v>
      </c>
      <c r="T358" s="2">
        <v>519844.76</v>
      </c>
    </row>
    <row r="359" spans="1:20" hidden="1" x14ac:dyDescent="0.35">
      <c r="A359" s="20">
        <v>45992</v>
      </c>
      <c r="B359">
        <v>8137321144</v>
      </c>
      <c r="C359" t="s">
        <v>317</v>
      </c>
      <c r="H359" s="1">
        <v>146754.95000000001</v>
      </c>
      <c r="I359" s="1">
        <v>6381</v>
      </c>
      <c r="J359" s="1"/>
      <c r="L359" s="8">
        <v>90</v>
      </c>
      <c r="M359" s="17" t="s">
        <v>475</v>
      </c>
      <c r="N359" t="s">
        <v>585</v>
      </c>
      <c r="O359" t="s">
        <v>16</v>
      </c>
      <c r="R359" s="3">
        <v>1</v>
      </c>
      <c r="S359" t="s">
        <v>18</v>
      </c>
      <c r="T359" s="2">
        <v>519844.76</v>
      </c>
    </row>
    <row r="360" spans="1:20" hidden="1" x14ac:dyDescent="0.35">
      <c r="A360" s="20">
        <v>45992</v>
      </c>
      <c r="B360">
        <v>8137321145</v>
      </c>
      <c r="C360" t="s">
        <v>352</v>
      </c>
      <c r="H360" s="1">
        <v>76084.800000000003</v>
      </c>
      <c r="I360" s="1">
        <v>3458</v>
      </c>
      <c r="J360" s="1"/>
      <c r="L360" s="8">
        <v>90</v>
      </c>
      <c r="M360" s="17">
        <v>567179614471</v>
      </c>
      <c r="N360" t="s">
        <v>585</v>
      </c>
      <c r="O360" t="s">
        <v>16</v>
      </c>
      <c r="R360" s="3">
        <v>1</v>
      </c>
      <c r="S360" t="s">
        <v>18</v>
      </c>
      <c r="T360" s="2">
        <v>519844.76</v>
      </c>
    </row>
    <row r="361" spans="1:20" hidden="1" x14ac:dyDescent="0.35">
      <c r="A361" s="20">
        <v>45992</v>
      </c>
      <c r="B361">
        <v>8137321149</v>
      </c>
      <c r="C361" t="s">
        <v>353</v>
      </c>
      <c r="H361" s="1">
        <v>155667.75</v>
      </c>
      <c r="I361" s="1">
        <v>2965</v>
      </c>
      <c r="J361" s="1"/>
      <c r="L361" s="3">
        <v>90</v>
      </c>
      <c r="M361" s="16" t="s">
        <v>499</v>
      </c>
      <c r="N361" t="s">
        <v>585</v>
      </c>
      <c r="O361" t="s">
        <v>16</v>
      </c>
      <c r="R361" s="3">
        <v>1</v>
      </c>
      <c r="S361" t="s">
        <v>18</v>
      </c>
      <c r="T361" s="2">
        <v>519844.76</v>
      </c>
    </row>
    <row r="362" spans="1:20" hidden="1" x14ac:dyDescent="0.35">
      <c r="A362" s="20">
        <v>45992</v>
      </c>
      <c r="B362">
        <v>8137321156</v>
      </c>
      <c r="C362" t="s">
        <v>354</v>
      </c>
      <c r="H362" s="1">
        <v>90620</v>
      </c>
      <c r="I362" s="1">
        <v>3940</v>
      </c>
      <c r="J362" s="1"/>
      <c r="L362" s="8">
        <v>90</v>
      </c>
      <c r="M362" s="17">
        <v>492263278464</v>
      </c>
      <c r="N362" t="s">
        <v>584</v>
      </c>
      <c r="O362" t="s">
        <v>16</v>
      </c>
      <c r="R362" s="3">
        <v>1</v>
      </c>
      <c r="S362" t="s">
        <v>18</v>
      </c>
      <c r="T362" s="2">
        <v>411298.29</v>
      </c>
    </row>
    <row r="363" spans="1:20" hidden="1" x14ac:dyDescent="0.35">
      <c r="A363" s="20">
        <v>45992</v>
      </c>
      <c r="B363">
        <v>8137321157</v>
      </c>
      <c r="C363" t="s">
        <v>355</v>
      </c>
      <c r="H363" s="1">
        <v>151391.75</v>
      </c>
      <c r="I363" s="1">
        <v>6582</v>
      </c>
      <c r="J363" s="1"/>
      <c r="L363" s="8">
        <v>90</v>
      </c>
      <c r="M363" s="17">
        <v>812023991052</v>
      </c>
      <c r="N363" t="s">
        <v>584</v>
      </c>
      <c r="O363" t="s">
        <v>16</v>
      </c>
      <c r="R363" s="3">
        <v>1</v>
      </c>
      <c r="S363" t="s">
        <v>18</v>
      </c>
      <c r="T363" s="2">
        <v>411298.29</v>
      </c>
    </row>
    <row r="364" spans="1:20" hidden="1" x14ac:dyDescent="0.35">
      <c r="A364" s="20">
        <v>45992</v>
      </c>
      <c r="B364">
        <v>8137321159</v>
      </c>
      <c r="C364" t="s">
        <v>356</v>
      </c>
      <c r="H364" s="1">
        <v>16100</v>
      </c>
      <c r="I364" s="1">
        <v>700</v>
      </c>
      <c r="J364" s="1"/>
      <c r="L364" s="8">
        <v>90</v>
      </c>
      <c r="M364" s="17">
        <v>143256299493</v>
      </c>
      <c r="N364" t="s">
        <v>585</v>
      </c>
      <c r="O364" t="s">
        <v>16</v>
      </c>
      <c r="R364" s="3">
        <v>1</v>
      </c>
      <c r="S364" t="s">
        <v>18</v>
      </c>
      <c r="T364" s="2">
        <v>519844.76</v>
      </c>
    </row>
    <row r="365" spans="1:20" hidden="1" x14ac:dyDescent="0.35">
      <c r="A365" s="20">
        <v>45992</v>
      </c>
      <c r="B365">
        <v>8137321161</v>
      </c>
      <c r="C365" t="s">
        <v>357</v>
      </c>
      <c r="H365" s="1">
        <v>249758.15</v>
      </c>
      <c r="I365" s="1">
        <v>10859</v>
      </c>
      <c r="J365" s="1"/>
      <c r="L365" s="8">
        <v>90</v>
      </c>
      <c r="M365" s="17">
        <v>121016402705</v>
      </c>
      <c r="N365" t="s">
        <v>584</v>
      </c>
      <c r="O365" t="s">
        <v>16</v>
      </c>
      <c r="R365" s="3">
        <v>1</v>
      </c>
      <c r="S365" t="s">
        <v>18</v>
      </c>
      <c r="T365" s="2">
        <v>411298.29</v>
      </c>
    </row>
    <row r="366" spans="1:20" hidden="1" x14ac:dyDescent="0.35">
      <c r="A366" s="20">
        <v>45992</v>
      </c>
      <c r="B366">
        <v>8137321174</v>
      </c>
      <c r="C366" t="s">
        <v>358</v>
      </c>
      <c r="H366" s="1">
        <v>19320</v>
      </c>
      <c r="I366" s="1">
        <v>840</v>
      </c>
      <c r="J366" s="1"/>
      <c r="L366" s="8">
        <v>90</v>
      </c>
      <c r="M366" s="17">
        <v>146516152830</v>
      </c>
      <c r="N366" t="s">
        <v>584</v>
      </c>
      <c r="O366" t="s">
        <v>16</v>
      </c>
      <c r="R366" s="3">
        <v>1</v>
      </c>
      <c r="S366" t="s">
        <v>18</v>
      </c>
      <c r="T366" s="2">
        <v>411298.29</v>
      </c>
    </row>
    <row r="367" spans="1:20" hidden="1" x14ac:dyDescent="0.35">
      <c r="A367" s="20">
        <v>45992</v>
      </c>
      <c r="B367">
        <v>8137321176</v>
      </c>
      <c r="C367" t="s">
        <v>359</v>
      </c>
      <c r="H367" s="1">
        <v>14490</v>
      </c>
      <c r="I367" s="1">
        <v>630</v>
      </c>
      <c r="J367" s="1"/>
      <c r="L367" s="8">
        <v>90</v>
      </c>
      <c r="M367" s="17">
        <v>698690233556</v>
      </c>
      <c r="N367" t="s">
        <v>584</v>
      </c>
      <c r="O367" t="s">
        <v>16</v>
      </c>
      <c r="R367" s="3">
        <v>1</v>
      </c>
      <c r="S367" t="s">
        <v>18</v>
      </c>
      <c r="T367" s="2">
        <v>411298.29</v>
      </c>
    </row>
    <row r="368" spans="1:20" hidden="1" x14ac:dyDescent="0.35">
      <c r="A368" s="20">
        <v>45992</v>
      </c>
      <c r="B368">
        <v>8137321257</v>
      </c>
      <c r="C368" t="s">
        <v>360</v>
      </c>
      <c r="H368" s="1">
        <v>111513.2</v>
      </c>
      <c r="I368" s="1">
        <v>4848.6499999999996</v>
      </c>
      <c r="J368" s="1"/>
      <c r="L368" s="8">
        <v>90</v>
      </c>
      <c r="M368" s="16" t="s">
        <v>500</v>
      </c>
      <c r="N368" t="s">
        <v>585</v>
      </c>
      <c r="O368" t="s">
        <v>16</v>
      </c>
      <c r="R368" s="3">
        <v>1</v>
      </c>
      <c r="S368" t="s">
        <v>18</v>
      </c>
      <c r="T368" s="2">
        <v>519844.76</v>
      </c>
    </row>
    <row r="369" spans="1:20" hidden="1" x14ac:dyDescent="0.35">
      <c r="A369" s="20">
        <v>45992</v>
      </c>
      <c r="B369">
        <v>8137321265</v>
      </c>
      <c r="C369" t="s">
        <v>147</v>
      </c>
      <c r="H369" s="1">
        <v>95806.5</v>
      </c>
      <c r="I369" s="1">
        <v>4165.5</v>
      </c>
      <c r="J369" s="1"/>
      <c r="L369" s="8">
        <v>90</v>
      </c>
      <c r="M369" s="16" t="s">
        <v>242</v>
      </c>
      <c r="N369" t="s">
        <v>584</v>
      </c>
      <c r="O369" t="s">
        <v>16</v>
      </c>
      <c r="R369" s="3">
        <v>1</v>
      </c>
      <c r="S369" t="s">
        <v>18</v>
      </c>
      <c r="T369" s="2">
        <v>411298.29</v>
      </c>
    </row>
    <row r="370" spans="1:20" hidden="1" x14ac:dyDescent="0.35">
      <c r="A370" s="20">
        <v>45992</v>
      </c>
      <c r="B370">
        <v>8137321266</v>
      </c>
      <c r="C370" t="s">
        <v>361</v>
      </c>
      <c r="H370" s="1">
        <v>238475.5</v>
      </c>
      <c r="I370" s="1">
        <v>10369</v>
      </c>
      <c r="J370" s="1"/>
      <c r="L370" s="8">
        <v>90</v>
      </c>
      <c r="M370" s="16" t="s">
        <v>501</v>
      </c>
      <c r="N370" t="s">
        <v>585</v>
      </c>
      <c r="O370" t="s">
        <v>16</v>
      </c>
      <c r="R370" s="3">
        <v>1</v>
      </c>
      <c r="S370" t="s">
        <v>18</v>
      </c>
      <c r="T370" s="2">
        <v>519844.76</v>
      </c>
    </row>
    <row r="371" spans="1:20" hidden="1" x14ac:dyDescent="0.35">
      <c r="A371" s="20">
        <v>45992</v>
      </c>
      <c r="B371">
        <v>8137321267</v>
      </c>
      <c r="C371" t="s">
        <v>362</v>
      </c>
      <c r="H371" s="1">
        <v>47072.38</v>
      </c>
      <c r="I371" s="1">
        <v>2046.63</v>
      </c>
      <c r="J371" s="1"/>
      <c r="L371" s="8">
        <v>90</v>
      </c>
      <c r="M371" s="16" t="s">
        <v>502</v>
      </c>
      <c r="N371" t="s">
        <v>584</v>
      </c>
      <c r="O371" t="s">
        <v>16</v>
      </c>
      <c r="R371" s="3">
        <v>1</v>
      </c>
      <c r="S371" t="s">
        <v>18</v>
      </c>
      <c r="T371" s="2">
        <v>411298.29</v>
      </c>
    </row>
    <row r="372" spans="1:20" hidden="1" x14ac:dyDescent="0.35">
      <c r="A372" s="20">
        <v>45992</v>
      </c>
      <c r="B372">
        <v>8137321268</v>
      </c>
      <c r="C372" t="s">
        <v>363</v>
      </c>
      <c r="H372" s="1">
        <v>755634.53</v>
      </c>
      <c r="I372" s="1">
        <v>32853.629999999997</v>
      </c>
      <c r="J372" s="1"/>
      <c r="L372" s="8">
        <v>90</v>
      </c>
      <c r="M372" s="16" t="s">
        <v>503</v>
      </c>
      <c r="N372" t="s">
        <v>584</v>
      </c>
      <c r="O372" t="s">
        <v>16</v>
      </c>
      <c r="R372" s="3">
        <v>1</v>
      </c>
      <c r="S372" t="s">
        <v>18</v>
      </c>
      <c r="T372" s="2">
        <v>411298.29</v>
      </c>
    </row>
    <row r="373" spans="1:20" hidden="1" x14ac:dyDescent="0.35">
      <c r="A373" s="20">
        <v>45992</v>
      </c>
      <c r="B373">
        <v>8137321271</v>
      </c>
      <c r="C373" t="s">
        <v>364</v>
      </c>
      <c r="H373" s="1">
        <v>50596.21</v>
      </c>
      <c r="I373" s="1">
        <v>2199.84</v>
      </c>
      <c r="J373" s="1"/>
      <c r="L373" s="8">
        <v>90</v>
      </c>
      <c r="M373" s="16" t="s">
        <v>504</v>
      </c>
      <c r="N373" t="s">
        <v>584</v>
      </c>
      <c r="O373" t="s">
        <v>16</v>
      </c>
      <c r="R373" s="3">
        <v>1</v>
      </c>
      <c r="S373" t="s">
        <v>18</v>
      </c>
      <c r="T373" s="2">
        <v>411298.29</v>
      </c>
    </row>
    <row r="374" spans="1:20" hidden="1" x14ac:dyDescent="0.35">
      <c r="A374" s="20">
        <v>45992</v>
      </c>
      <c r="B374">
        <v>8137321284</v>
      </c>
      <c r="C374" t="s">
        <v>365</v>
      </c>
      <c r="H374" s="1">
        <v>69000</v>
      </c>
      <c r="I374" s="1">
        <v>3000</v>
      </c>
      <c r="J374" s="1"/>
      <c r="L374" s="8">
        <v>90</v>
      </c>
      <c r="M374" s="16" t="s">
        <v>505</v>
      </c>
      <c r="N374" t="s">
        <v>584</v>
      </c>
      <c r="O374" t="s">
        <v>16</v>
      </c>
      <c r="R374" s="3">
        <v>1</v>
      </c>
      <c r="S374" t="s">
        <v>18</v>
      </c>
      <c r="T374" s="2">
        <v>411298.29</v>
      </c>
    </row>
    <row r="375" spans="1:20" hidden="1" x14ac:dyDescent="0.35">
      <c r="A375" s="20">
        <v>45992</v>
      </c>
      <c r="B375">
        <v>8137321306</v>
      </c>
      <c r="C375" t="s">
        <v>366</v>
      </c>
      <c r="H375" s="1">
        <v>43732.5</v>
      </c>
      <c r="I375" s="1">
        <v>833</v>
      </c>
      <c r="J375" s="1"/>
      <c r="L375" s="3">
        <v>90</v>
      </c>
      <c r="M375" s="17">
        <v>196216386173</v>
      </c>
      <c r="N375" t="s">
        <v>584</v>
      </c>
      <c r="O375" t="s">
        <v>16</v>
      </c>
      <c r="R375" s="3">
        <v>1</v>
      </c>
      <c r="S375" t="s">
        <v>18</v>
      </c>
      <c r="T375" s="2">
        <v>411298.29</v>
      </c>
    </row>
    <row r="376" spans="1:20" hidden="1" x14ac:dyDescent="0.35">
      <c r="A376" s="20">
        <v>45992</v>
      </c>
      <c r="B376">
        <v>8137321307</v>
      </c>
      <c r="C376" t="s">
        <v>367</v>
      </c>
      <c r="H376" s="1">
        <v>20336.849999999999</v>
      </c>
      <c r="I376" s="1">
        <v>884.21</v>
      </c>
      <c r="J376" s="1"/>
      <c r="L376" s="8">
        <v>90</v>
      </c>
      <c r="M376" s="17">
        <v>174440714475</v>
      </c>
      <c r="N376" t="s">
        <v>585</v>
      </c>
      <c r="O376" t="s">
        <v>16</v>
      </c>
      <c r="R376" s="3">
        <v>1</v>
      </c>
      <c r="S376" t="s">
        <v>18</v>
      </c>
      <c r="T376" s="2">
        <v>519844.76</v>
      </c>
    </row>
    <row r="377" spans="1:20" hidden="1" x14ac:dyDescent="0.35">
      <c r="A377" s="20">
        <v>45992</v>
      </c>
      <c r="B377">
        <v>8137321385</v>
      </c>
      <c r="C377" t="s">
        <v>325</v>
      </c>
      <c r="H377" s="1">
        <v>7414.29</v>
      </c>
      <c r="I377" s="1">
        <v>141.22</v>
      </c>
      <c r="J377" s="1"/>
      <c r="L377" s="3">
        <v>90</v>
      </c>
      <c r="M377" s="17" t="s">
        <v>481</v>
      </c>
      <c r="N377" t="s">
        <v>585</v>
      </c>
      <c r="O377" t="s">
        <v>16</v>
      </c>
      <c r="R377" s="3">
        <v>1</v>
      </c>
      <c r="S377" t="s">
        <v>18</v>
      </c>
      <c r="T377" s="2">
        <v>519844.76</v>
      </c>
    </row>
    <row r="378" spans="1:20" hidden="1" x14ac:dyDescent="0.35">
      <c r="A378" s="20">
        <v>45992</v>
      </c>
      <c r="B378">
        <v>8137321437</v>
      </c>
      <c r="C378" t="s">
        <v>318</v>
      </c>
      <c r="H378" s="1">
        <v>6006</v>
      </c>
      <c r="I378" s="1">
        <v>114</v>
      </c>
      <c r="J378" s="1"/>
      <c r="L378" s="3">
        <v>90</v>
      </c>
      <c r="M378" s="17" t="s">
        <v>476</v>
      </c>
      <c r="N378" t="s">
        <v>584</v>
      </c>
      <c r="O378" t="s">
        <v>16</v>
      </c>
      <c r="R378" s="3">
        <v>1</v>
      </c>
      <c r="S378" t="s">
        <v>18</v>
      </c>
      <c r="T378" s="2">
        <v>411298.29</v>
      </c>
    </row>
    <row r="379" spans="1:20" hidden="1" x14ac:dyDescent="0.35">
      <c r="A379" s="20">
        <v>45993</v>
      </c>
      <c r="B379">
        <v>8137321525</v>
      </c>
      <c r="C379" t="s">
        <v>319</v>
      </c>
      <c r="H379" s="1">
        <v>176132.85</v>
      </c>
      <c r="I379" s="1">
        <v>7659</v>
      </c>
      <c r="J379" s="1"/>
      <c r="L379" s="8">
        <v>90</v>
      </c>
      <c r="M379" s="17">
        <v>773259640141</v>
      </c>
      <c r="N379" t="s">
        <v>585</v>
      </c>
      <c r="O379" t="s">
        <v>16</v>
      </c>
      <c r="R379" s="3">
        <v>1</v>
      </c>
      <c r="S379" t="s">
        <v>18</v>
      </c>
      <c r="T379" s="2">
        <v>519844.76</v>
      </c>
    </row>
    <row r="380" spans="1:20" hidden="1" x14ac:dyDescent="0.35">
      <c r="A380" s="20">
        <v>45993</v>
      </c>
      <c r="B380">
        <v>8137321526</v>
      </c>
      <c r="C380" t="s">
        <v>368</v>
      </c>
      <c r="H380" s="1">
        <v>306688.90000000002</v>
      </c>
      <c r="I380" s="1">
        <v>13334</v>
      </c>
      <c r="J380" s="1"/>
      <c r="L380" s="8">
        <v>90</v>
      </c>
      <c r="M380" s="17" t="s">
        <v>506</v>
      </c>
      <c r="N380" t="s">
        <v>585</v>
      </c>
      <c r="O380" t="s">
        <v>16</v>
      </c>
      <c r="R380" s="3">
        <v>1</v>
      </c>
      <c r="S380" t="s">
        <v>18</v>
      </c>
      <c r="T380" s="2">
        <v>519844.76</v>
      </c>
    </row>
    <row r="381" spans="1:20" hidden="1" x14ac:dyDescent="0.35">
      <c r="A381" s="20">
        <v>45993</v>
      </c>
      <c r="B381">
        <v>8137321527</v>
      </c>
      <c r="C381" t="s">
        <v>369</v>
      </c>
      <c r="H381" s="1">
        <v>56478.8</v>
      </c>
      <c r="I381" s="1">
        <v>2455</v>
      </c>
      <c r="J381" s="1"/>
      <c r="L381" s="8">
        <v>90</v>
      </c>
      <c r="M381" s="17" t="s">
        <v>507</v>
      </c>
      <c r="N381" t="s">
        <v>585</v>
      </c>
      <c r="O381" t="s">
        <v>16</v>
      </c>
      <c r="R381" s="3">
        <v>1</v>
      </c>
      <c r="S381" t="s">
        <v>18</v>
      </c>
      <c r="T381" s="2">
        <v>519844.76</v>
      </c>
    </row>
    <row r="382" spans="1:20" hidden="1" x14ac:dyDescent="0.35">
      <c r="A382" s="20">
        <v>45993</v>
      </c>
      <c r="B382">
        <v>8137321528</v>
      </c>
      <c r="C382" t="s">
        <v>370</v>
      </c>
      <c r="H382" s="1">
        <v>130492.8</v>
      </c>
      <c r="I382" s="1">
        <v>5673</v>
      </c>
      <c r="J382" s="1"/>
      <c r="L382" s="8">
        <v>90</v>
      </c>
      <c r="M382" s="17" t="s">
        <v>508</v>
      </c>
      <c r="N382" t="s">
        <v>585</v>
      </c>
      <c r="O382" t="s">
        <v>16</v>
      </c>
      <c r="R382" s="3">
        <v>1</v>
      </c>
      <c r="S382" t="s">
        <v>18</v>
      </c>
      <c r="T382" s="2">
        <v>519844.76</v>
      </c>
    </row>
    <row r="383" spans="1:20" hidden="1" x14ac:dyDescent="0.35">
      <c r="A383" s="20">
        <v>45993</v>
      </c>
      <c r="B383">
        <v>8137321548</v>
      </c>
      <c r="C383" t="s">
        <v>176</v>
      </c>
      <c r="H383" s="1">
        <v>59315.85</v>
      </c>
      <c r="I383" s="1">
        <v>2579</v>
      </c>
      <c r="J383" s="1"/>
      <c r="L383" s="8">
        <v>90</v>
      </c>
      <c r="M383" s="17">
        <v>763017654127</v>
      </c>
      <c r="N383" t="s">
        <v>585</v>
      </c>
      <c r="O383" t="s">
        <v>16</v>
      </c>
      <c r="R383" s="3">
        <v>1</v>
      </c>
      <c r="S383" t="s">
        <v>18</v>
      </c>
      <c r="T383" s="2">
        <v>519844.76</v>
      </c>
    </row>
    <row r="384" spans="1:20" hidden="1" x14ac:dyDescent="0.35">
      <c r="A384" s="20">
        <v>45993</v>
      </c>
      <c r="B384">
        <v>8137321585</v>
      </c>
      <c r="C384" t="s">
        <v>178</v>
      </c>
      <c r="H384" s="1">
        <v>400563.4</v>
      </c>
      <c r="I384" s="1">
        <v>17415</v>
      </c>
      <c r="J384" s="1"/>
      <c r="L384" s="8">
        <v>90</v>
      </c>
      <c r="M384" s="17" t="s">
        <v>306</v>
      </c>
      <c r="N384" t="s">
        <v>585</v>
      </c>
      <c r="O384" t="s">
        <v>16</v>
      </c>
      <c r="R384" s="3">
        <v>1</v>
      </c>
      <c r="S384" t="s">
        <v>18</v>
      </c>
      <c r="T384" s="2">
        <v>519844.76</v>
      </c>
    </row>
    <row r="385" spans="1:20" hidden="1" x14ac:dyDescent="0.35">
      <c r="A385" s="20">
        <v>45993</v>
      </c>
      <c r="B385">
        <v>8137321592</v>
      </c>
      <c r="C385" t="s">
        <v>179</v>
      </c>
      <c r="H385" s="1">
        <v>163531.15</v>
      </c>
      <c r="I385" s="1">
        <v>7109</v>
      </c>
      <c r="J385" s="1"/>
      <c r="L385" s="8">
        <v>90</v>
      </c>
      <c r="M385" s="17" t="s">
        <v>254</v>
      </c>
      <c r="N385" t="s">
        <v>585</v>
      </c>
      <c r="O385" t="s">
        <v>16</v>
      </c>
      <c r="R385" s="3">
        <v>1</v>
      </c>
      <c r="S385" t="s">
        <v>18</v>
      </c>
      <c r="T385" s="2">
        <v>519844.76</v>
      </c>
    </row>
    <row r="386" spans="1:20" hidden="1" x14ac:dyDescent="0.35">
      <c r="A386" s="20">
        <v>45993</v>
      </c>
      <c r="B386">
        <v>8137321603</v>
      </c>
      <c r="C386" t="s">
        <v>177</v>
      </c>
      <c r="H386" s="1">
        <v>106181.8</v>
      </c>
      <c r="I386" s="1">
        <v>4616</v>
      </c>
      <c r="J386" s="1"/>
      <c r="L386" s="8">
        <v>90</v>
      </c>
      <c r="M386" s="17">
        <v>584948803435</v>
      </c>
      <c r="N386" t="s">
        <v>584</v>
      </c>
      <c r="O386" t="s">
        <v>16</v>
      </c>
      <c r="R386" s="3">
        <v>1</v>
      </c>
      <c r="S386" t="s">
        <v>18</v>
      </c>
      <c r="T386" s="2">
        <v>411298.29</v>
      </c>
    </row>
    <row r="387" spans="1:20" hidden="1" x14ac:dyDescent="0.35">
      <c r="A387" s="20">
        <v>45993</v>
      </c>
      <c r="B387">
        <v>8137321620</v>
      </c>
      <c r="C387" t="s">
        <v>371</v>
      </c>
      <c r="H387" s="1">
        <v>61131.7</v>
      </c>
      <c r="I387" s="1">
        <v>2658</v>
      </c>
      <c r="J387" s="1"/>
      <c r="L387" s="8">
        <v>90</v>
      </c>
      <c r="M387" s="17" t="s">
        <v>509</v>
      </c>
      <c r="N387" t="s">
        <v>585</v>
      </c>
      <c r="O387" t="s">
        <v>16</v>
      </c>
      <c r="R387" s="3">
        <v>1</v>
      </c>
      <c r="S387" t="s">
        <v>18</v>
      </c>
      <c r="T387" s="2">
        <v>519844.76</v>
      </c>
    </row>
    <row r="388" spans="1:20" hidden="1" x14ac:dyDescent="0.35">
      <c r="A388" s="20">
        <v>45993</v>
      </c>
      <c r="B388">
        <v>8137321665</v>
      </c>
      <c r="C388" t="s">
        <v>372</v>
      </c>
      <c r="H388" s="1">
        <v>329189.8</v>
      </c>
      <c r="I388" s="1">
        <v>14312.6</v>
      </c>
      <c r="J388" s="1"/>
      <c r="L388" s="8">
        <v>90</v>
      </c>
      <c r="M388" s="17" t="s">
        <v>510</v>
      </c>
      <c r="N388" t="s">
        <v>584</v>
      </c>
      <c r="O388" t="s">
        <v>16</v>
      </c>
      <c r="R388" s="3">
        <v>1</v>
      </c>
      <c r="S388" t="s">
        <v>18</v>
      </c>
      <c r="T388" s="2">
        <v>411298.29</v>
      </c>
    </row>
    <row r="389" spans="1:20" hidden="1" x14ac:dyDescent="0.35">
      <c r="A389" s="20">
        <v>45993</v>
      </c>
      <c r="B389">
        <v>8137321668</v>
      </c>
      <c r="C389" t="s">
        <v>373</v>
      </c>
      <c r="H389" s="1">
        <v>106838.45</v>
      </c>
      <c r="I389" s="1">
        <v>4645.1499999999996</v>
      </c>
      <c r="J389" s="1"/>
      <c r="L389" s="8">
        <v>90</v>
      </c>
      <c r="M389" s="17" t="s">
        <v>511</v>
      </c>
      <c r="N389" t="s">
        <v>584</v>
      </c>
      <c r="O389" t="s">
        <v>16</v>
      </c>
      <c r="R389" s="3">
        <v>1</v>
      </c>
      <c r="S389" t="s">
        <v>18</v>
      </c>
      <c r="T389" s="2">
        <v>411298.29</v>
      </c>
    </row>
    <row r="390" spans="1:20" hidden="1" x14ac:dyDescent="0.35">
      <c r="A390" s="20">
        <v>45993</v>
      </c>
      <c r="B390">
        <v>8137321670</v>
      </c>
      <c r="C390" t="s">
        <v>374</v>
      </c>
      <c r="H390" s="1">
        <v>70150</v>
      </c>
      <c r="I390" s="1">
        <v>3050</v>
      </c>
      <c r="J390" s="1"/>
      <c r="L390" s="8">
        <v>90</v>
      </c>
      <c r="M390" s="17" t="s">
        <v>512</v>
      </c>
      <c r="N390" t="s">
        <v>585</v>
      </c>
      <c r="O390" t="s">
        <v>16</v>
      </c>
      <c r="R390" s="3">
        <v>1</v>
      </c>
      <c r="S390" t="s">
        <v>18</v>
      </c>
      <c r="T390" s="2">
        <v>519844.76</v>
      </c>
    </row>
    <row r="391" spans="1:20" hidden="1" x14ac:dyDescent="0.35">
      <c r="A391" s="20">
        <v>45993</v>
      </c>
      <c r="B391">
        <v>8137321672</v>
      </c>
      <c r="C391" t="s">
        <v>375</v>
      </c>
      <c r="H391" s="1">
        <v>65550</v>
      </c>
      <c r="I391" s="1">
        <v>2850</v>
      </c>
      <c r="J391" s="1"/>
      <c r="L391" s="8">
        <v>90</v>
      </c>
      <c r="M391" s="17" t="s">
        <v>513</v>
      </c>
      <c r="N391" t="s">
        <v>584</v>
      </c>
      <c r="O391" t="s">
        <v>16</v>
      </c>
      <c r="R391" s="3">
        <v>1</v>
      </c>
      <c r="S391" t="s">
        <v>18</v>
      </c>
      <c r="T391" s="2">
        <v>411298.29</v>
      </c>
    </row>
    <row r="392" spans="1:20" hidden="1" x14ac:dyDescent="0.35">
      <c r="A392" s="20">
        <v>45993</v>
      </c>
      <c r="B392">
        <v>8137321673</v>
      </c>
      <c r="C392" t="s">
        <v>376</v>
      </c>
      <c r="H392" s="1">
        <v>52306.6</v>
      </c>
      <c r="I392" s="1">
        <v>2274.1999999999998</v>
      </c>
      <c r="J392" s="1"/>
      <c r="L392" s="8">
        <v>90</v>
      </c>
      <c r="M392" s="17" t="s">
        <v>514</v>
      </c>
      <c r="N392" t="s">
        <v>584</v>
      </c>
      <c r="O392" t="s">
        <v>16</v>
      </c>
      <c r="R392" s="3">
        <v>1</v>
      </c>
      <c r="S392" t="s">
        <v>18</v>
      </c>
      <c r="T392" s="2">
        <v>411298.29</v>
      </c>
    </row>
    <row r="393" spans="1:20" hidden="1" x14ac:dyDescent="0.35">
      <c r="A393" s="20">
        <v>45993</v>
      </c>
      <c r="B393">
        <v>8137321676</v>
      </c>
      <c r="C393" s="18" t="s">
        <v>114</v>
      </c>
      <c r="D393" s="18"/>
      <c r="E393" s="18"/>
      <c r="F393" s="18"/>
      <c r="G393" s="18"/>
      <c r="H393" s="1">
        <v>126036.55</v>
      </c>
      <c r="I393" s="1">
        <v>5479.85</v>
      </c>
      <c r="J393" s="1"/>
      <c r="L393" s="8">
        <v>90</v>
      </c>
      <c r="M393" s="19">
        <v>871143960020</v>
      </c>
      <c r="N393" t="s">
        <v>584</v>
      </c>
      <c r="O393" t="s">
        <v>16</v>
      </c>
      <c r="P393" s="18"/>
      <c r="Q393" s="18"/>
      <c r="R393" s="3">
        <v>1</v>
      </c>
      <c r="S393" t="s">
        <v>18</v>
      </c>
      <c r="T393" s="2">
        <v>411298.29</v>
      </c>
    </row>
    <row r="394" spans="1:20" hidden="1" x14ac:dyDescent="0.35">
      <c r="A394" s="20">
        <v>45993</v>
      </c>
      <c r="B394">
        <v>8137321677</v>
      </c>
      <c r="C394" t="s">
        <v>377</v>
      </c>
      <c r="H394" s="1">
        <v>46296.7</v>
      </c>
      <c r="I394" s="1">
        <v>2012.9</v>
      </c>
      <c r="J394" s="1"/>
      <c r="L394" s="8">
        <v>90</v>
      </c>
      <c r="M394" s="17" t="s">
        <v>515</v>
      </c>
      <c r="N394" t="s">
        <v>585</v>
      </c>
      <c r="O394" t="s">
        <v>16</v>
      </c>
      <c r="R394" s="3">
        <v>1</v>
      </c>
      <c r="S394" t="s">
        <v>18</v>
      </c>
      <c r="T394" s="2">
        <v>519844.76</v>
      </c>
    </row>
    <row r="395" spans="1:20" hidden="1" x14ac:dyDescent="0.35">
      <c r="A395" s="20">
        <v>45993</v>
      </c>
      <c r="B395">
        <v>8137321679</v>
      </c>
      <c r="C395" t="s">
        <v>378</v>
      </c>
      <c r="H395" s="1">
        <v>38395.050000000003</v>
      </c>
      <c r="I395" s="1">
        <v>1669.35</v>
      </c>
      <c r="J395" s="1"/>
      <c r="L395" s="8">
        <v>90</v>
      </c>
      <c r="M395" s="17" t="s">
        <v>516</v>
      </c>
      <c r="N395" t="s">
        <v>585</v>
      </c>
      <c r="O395" t="s">
        <v>16</v>
      </c>
      <c r="R395" s="3">
        <v>1</v>
      </c>
      <c r="S395" t="s">
        <v>18</v>
      </c>
      <c r="T395" s="2">
        <v>519844.76</v>
      </c>
    </row>
    <row r="396" spans="1:20" hidden="1" x14ac:dyDescent="0.35">
      <c r="A396" s="20">
        <v>45993</v>
      </c>
      <c r="B396">
        <v>8137321805</v>
      </c>
      <c r="C396" t="s">
        <v>379</v>
      </c>
      <c r="H396" s="1">
        <v>2892.8599999999997</v>
      </c>
      <c r="I396" s="1">
        <v>55.1</v>
      </c>
      <c r="J396" s="1"/>
      <c r="L396" s="3">
        <v>90</v>
      </c>
      <c r="M396" s="16" t="s">
        <v>517</v>
      </c>
      <c r="N396" t="s">
        <v>585</v>
      </c>
      <c r="O396" t="s">
        <v>16</v>
      </c>
      <c r="R396" s="3">
        <v>1</v>
      </c>
      <c r="S396" t="s">
        <v>18</v>
      </c>
      <c r="T396" s="2">
        <v>519844.76</v>
      </c>
    </row>
    <row r="397" spans="1:20" hidden="1" x14ac:dyDescent="0.35">
      <c r="A397" s="20">
        <v>45993</v>
      </c>
      <c r="B397">
        <v>8137321815</v>
      </c>
      <c r="C397" t="s">
        <v>380</v>
      </c>
      <c r="H397" s="1">
        <v>71714</v>
      </c>
      <c r="I397" s="1">
        <v>3118</v>
      </c>
      <c r="J397" s="1"/>
      <c r="L397" s="8">
        <v>90</v>
      </c>
      <c r="M397" s="16" t="s">
        <v>518</v>
      </c>
      <c r="N397" t="s">
        <v>585</v>
      </c>
      <c r="O397" t="s">
        <v>16</v>
      </c>
      <c r="R397" s="3">
        <v>1</v>
      </c>
      <c r="S397" t="s">
        <v>18</v>
      </c>
      <c r="T397" s="2">
        <v>519844.76</v>
      </c>
    </row>
    <row r="398" spans="1:20" hidden="1" x14ac:dyDescent="0.35">
      <c r="A398" s="20">
        <v>45993</v>
      </c>
      <c r="B398">
        <v>8137321816</v>
      </c>
      <c r="C398" t="s">
        <v>381</v>
      </c>
      <c r="H398" s="1">
        <v>105003.05</v>
      </c>
      <c r="I398" s="1">
        <v>4565</v>
      </c>
      <c r="J398" s="1"/>
      <c r="L398" s="8">
        <v>90</v>
      </c>
      <c r="M398" s="16" t="s">
        <v>519</v>
      </c>
      <c r="N398" t="s">
        <v>584</v>
      </c>
      <c r="O398" t="s">
        <v>16</v>
      </c>
      <c r="R398" s="3">
        <v>1</v>
      </c>
      <c r="S398" t="s">
        <v>18</v>
      </c>
      <c r="T398" s="2">
        <v>411298.29</v>
      </c>
    </row>
    <row r="399" spans="1:20" hidden="1" x14ac:dyDescent="0.35">
      <c r="A399" s="20">
        <v>45993</v>
      </c>
      <c r="B399">
        <v>8137321817</v>
      </c>
      <c r="C399" t="s">
        <v>31</v>
      </c>
      <c r="H399" s="1">
        <v>56816.9</v>
      </c>
      <c r="I399" s="1">
        <v>2470</v>
      </c>
      <c r="J399" s="1"/>
      <c r="L399" s="8">
        <v>90</v>
      </c>
      <c r="M399" s="16" t="s">
        <v>188</v>
      </c>
      <c r="N399" t="s">
        <v>584</v>
      </c>
      <c r="O399" t="s">
        <v>16</v>
      </c>
      <c r="R399" s="3">
        <v>1</v>
      </c>
      <c r="S399" t="s">
        <v>18</v>
      </c>
      <c r="T399" s="2">
        <v>411298.29</v>
      </c>
    </row>
    <row r="400" spans="1:20" hidden="1" x14ac:dyDescent="0.35">
      <c r="A400" s="20">
        <v>45993</v>
      </c>
      <c r="B400">
        <v>8137321818</v>
      </c>
      <c r="C400" t="s">
        <v>32</v>
      </c>
      <c r="H400" s="1">
        <v>54357.05</v>
      </c>
      <c r="I400" s="1">
        <v>2363</v>
      </c>
      <c r="J400" s="1"/>
      <c r="L400" s="8">
        <v>90</v>
      </c>
      <c r="M400" s="16" t="s">
        <v>258</v>
      </c>
      <c r="N400" t="s">
        <v>584</v>
      </c>
      <c r="O400" t="s">
        <v>16</v>
      </c>
      <c r="R400" s="3">
        <v>1</v>
      </c>
      <c r="S400" t="s">
        <v>18</v>
      </c>
      <c r="T400" s="2">
        <v>411298.29</v>
      </c>
    </row>
    <row r="401" spans="1:20" hidden="1" x14ac:dyDescent="0.35">
      <c r="A401" s="20">
        <v>45993</v>
      </c>
      <c r="B401">
        <v>8137321819</v>
      </c>
      <c r="C401" t="s">
        <v>382</v>
      </c>
      <c r="H401" s="1">
        <v>58104.9</v>
      </c>
      <c r="I401" s="1">
        <v>2526</v>
      </c>
      <c r="J401" s="1"/>
      <c r="L401" s="8">
        <v>90</v>
      </c>
      <c r="M401" s="16" t="s">
        <v>520</v>
      </c>
      <c r="N401" t="s">
        <v>584</v>
      </c>
      <c r="O401" t="s">
        <v>16</v>
      </c>
      <c r="R401" s="3">
        <v>1</v>
      </c>
      <c r="S401" t="s">
        <v>18</v>
      </c>
      <c r="T401" s="2">
        <v>411298.29</v>
      </c>
    </row>
    <row r="402" spans="1:20" hidden="1" x14ac:dyDescent="0.35">
      <c r="A402" s="20">
        <v>45993</v>
      </c>
      <c r="B402">
        <v>8137321820</v>
      </c>
      <c r="C402" t="s">
        <v>313</v>
      </c>
      <c r="H402" s="1">
        <v>360404.25</v>
      </c>
      <c r="I402" s="1">
        <v>15670</v>
      </c>
      <c r="J402" s="1"/>
      <c r="L402" s="8">
        <v>90</v>
      </c>
      <c r="M402" s="16" t="s">
        <v>295</v>
      </c>
      <c r="N402" t="s">
        <v>585</v>
      </c>
      <c r="O402" t="s">
        <v>16</v>
      </c>
      <c r="R402" s="3">
        <v>1</v>
      </c>
      <c r="S402" t="s">
        <v>18</v>
      </c>
      <c r="T402" s="2">
        <v>519844.76</v>
      </c>
    </row>
    <row r="403" spans="1:20" hidden="1" x14ac:dyDescent="0.35">
      <c r="A403" s="20">
        <v>45993</v>
      </c>
      <c r="B403">
        <v>8137321821</v>
      </c>
      <c r="C403" t="s">
        <v>383</v>
      </c>
      <c r="H403" s="1">
        <v>57500</v>
      </c>
      <c r="I403" s="1">
        <v>2500</v>
      </c>
      <c r="J403" s="1"/>
      <c r="L403" s="8">
        <v>90</v>
      </c>
      <c r="M403" s="16" t="s">
        <v>521</v>
      </c>
      <c r="N403" t="s">
        <v>584</v>
      </c>
      <c r="O403" t="s">
        <v>16</v>
      </c>
      <c r="R403" s="3">
        <v>1</v>
      </c>
      <c r="S403" t="s">
        <v>18</v>
      </c>
      <c r="T403" s="2">
        <v>411298.29</v>
      </c>
    </row>
    <row r="404" spans="1:20" hidden="1" x14ac:dyDescent="0.35">
      <c r="A404" s="20">
        <v>45993</v>
      </c>
      <c r="B404">
        <v>8137321822</v>
      </c>
      <c r="C404" t="s">
        <v>384</v>
      </c>
      <c r="H404" s="1">
        <v>57500</v>
      </c>
      <c r="I404" s="1">
        <v>2500</v>
      </c>
      <c r="J404" s="1"/>
      <c r="L404" s="8">
        <v>90</v>
      </c>
      <c r="M404" s="16" t="s">
        <v>522</v>
      </c>
      <c r="N404" t="s">
        <v>585</v>
      </c>
      <c r="O404" t="s">
        <v>16</v>
      </c>
      <c r="R404" s="3">
        <v>1</v>
      </c>
      <c r="S404" t="s">
        <v>18</v>
      </c>
      <c r="T404" s="2">
        <v>519844.76</v>
      </c>
    </row>
    <row r="405" spans="1:20" hidden="1" x14ac:dyDescent="0.35">
      <c r="A405" s="20">
        <v>45993</v>
      </c>
      <c r="B405">
        <v>8137321823</v>
      </c>
      <c r="C405" t="s">
        <v>385</v>
      </c>
      <c r="H405" s="1">
        <v>55684.15</v>
      </c>
      <c r="I405" s="1">
        <v>2421</v>
      </c>
      <c r="J405" s="1"/>
      <c r="L405" s="8">
        <v>90</v>
      </c>
      <c r="M405" s="16" t="s">
        <v>523</v>
      </c>
      <c r="N405" t="s">
        <v>585</v>
      </c>
      <c r="O405" t="s">
        <v>16</v>
      </c>
      <c r="R405" s="3">
        <v>1</v>
      </c>
      <c r="S405" t="s">
        <v>18</v>
      </c>
      <c r="T405" s="2">
        <v>519844.76</v>
      </c>
    </row>
    <row r="406" spans="1:20" hidden="1" x14ac:dyDescent="0.35">
      <c r="A406" s="20">
        <v>45993</v>
      </c>
      <c r="B406">
        <v>8137321824</v>
      </c>
      <c r="C406" t="s">
        <v>386</v>
      </c>
      <c r="H406" s="1">
        <v>34128.550000000003</v>
      </c>
      <c r="I406" s="1">
        <v>1484</v>
      </c>
      <c r="J406" s="1"/>
      <c r="L406" s="8">
        <v>90</v>
      </c>
      <c r="M406" s="16" t="s">
        <v>524</v>
      </c>
      <c r="N406" t="s">
        <v>585</v>
      </c>
      <c r="O406" t="s">
        <v>16</v>
      </c>
      <c r="R406" s="3">
        <v>1</v>
      </c>
      <c r="S406" t="s">
        <v>18</v>
      </c>
      <c r="T406" s="2">
        <v>519844.76</v>
      </c>
    </row>
    <row r="407" spans="1:20" hidden="1" x14ac:dyDescent="0.35">
      <c r="A407" s="20">
        <v>45993</v>
      </c>
      <c r="B407">
        <v>8137321825</v>
      </c>
      <c r="C407" t="s">
        <v>387</v>
      </c>
      <c r="H407" s="1">
        <v>55684.15</v>
      </c>
      <c r="I407" s="1">
        <v>2421</v>
      </c>
      <c r="J407" s="1"/>
      <c r="L407" s="8">
        <v>90</v>
      </c>
      <c r="M407" s="16" t="s">
        <v>525</v>
      </c>
      <c r="N407" t="s">
        <v>585</v>
      </c>
      <c r="O407" t="s">
        <v>16</v>
      </c>
      <c r="R407" s="3">
        <v>1</v>
      </c>
      <c r="S407" t="s">
        <v>18</v>
      </c>
      <c r="T407" s="2">
        <v>519844.76</v>
      </c>
    </row>
    <row r="408" spans="1:20" hidden="1" x14ac:dyDescent="0.35">
      <c r="A408" s="20">
        <v>45993</v>
      </c>
      <c r="B408">
        <v>8137321826</v>
      </c>
      <c r="C408" t="s">
        <v>388</v>
      </c>
      <c r="H408" s="1">
        <v>56895.1</v>
      </c>
      <c r="I408" s="1">
        <v>2474</v>
      </c>
      <c r="J408" s="1"/>
      <c r="L408" s="8">
        <v>90</v>
      </c>
      <c r="M408" s="16" t="s">
        <v>526</v>
      </c>
      <c r="N408" t="s">
        <v>584</v>
      </c>
      <c r="O408" t="s">
        <v>16</v>
      </c>
      <c r="R408" s="3">
        <v>1</v>
      </c>
      <c r="S408" t="s">
        <v>18</v>
      </c>
      <c r="T408" s="2">
        <v>411298.29</v>
      </c>
    </row>
    <row r="409" spans="1:20" hidden="1" x14ac:dyDescent="0.35">
      <c r="A409" s="20">
        <v>45993</v>
      </c>
      <c r="B409">
        <v>8137321827</v>
      </c>
      <c r="C409" t="s">
        <v>389</v>
      </c>
      <c r="H409" s="1">
        <v>48733.55</v>
      </c>
      <c r="I409" s="1">
        <v>2119</v>
      </c>
      <c r="J409" s="1"/>
      <c r="L409" s="8">
        <v>90</v>
      </c>
      <c r="M409" s="16" t="s">
        <v>527</v>
      </c>
      <c r="N409" t="s">
        <v>585</v>
      </c>
      <c r="O409" t="s">
        <v>16</v>
      </c>
      <c r="R409" s="3">
        <v>1</v>
      </c>
      <c r="S409" t="s">
        <v>18</v>
      </c>
      <c r="T409" s="2">
        <v>519844.76</v>
      </c>
    </row>
    <row r="410" spans="1:20" hidden="1" x14ac:dyDescent="0.35">
      <c r="A410" s="20">
        <v>45993</v>
      </c>
      <c r="B410">
        <v>8137321828</v>
      </c>
      <c r="C410" t="s">
        <v>390</v>
      </c>
      <c r="H410" s="1">
        <v>150378.6</v>
      </c>
      <c r="I410" s="1">
        <v>6538</v>
      </c>
      <c r="J410" s="1"/>
      <c r="L410" s="8">
        <v>90</v>
      </c>
      <c r="M410" s="16" t="s">
        <v>528</v>
      </c>
      <c r="N410" t="s">
        <v>585</v>
      </c>
      <c r="O410" t="s">
        <v>16</v>
      </c>
      <c r="R410" s="3">
        <v>1</v>
      </c>
      <c r="S410" t="s">
        <v>18</v>
      </c>
      <c r="T410" s="2">
        <v>519844.76</v>
      </c>
    </row>
    <row r="411" spans="1:20" hidden="1" x14ac:dyDescent="0.35">
      <c r="A411" s="20">
        <v>45993</v>
      </c>
      <c r="B411">
        <v>8137321830</v>
      </c>
      <c r="C411" t="s">
        <v>391</v>
      </c>
      <c r="H411" s="1">
        <v>58710.95</v>
      </c>
      <c r="I411" s="1">
        <v>2553</v>
      </c>
      <c r="J411" s="1"/>
      <c r="L411" s="8">
        <v>90</v>
      </c>
      <c r="M411" s="16" t="s">
        <v>529</v>
      </c>
      <c r="N411" t="s">
        <v>584</v>
      </c>
      <c r="O411" t="s">
        <v>16</v>
      </c>
      <c r="R411" s="3">
        <v>1</v>
      </c>
      <c r="S411" t="s">
        <v>18</v>
      </c>
      <c r="T411" s="2">
        <v>411298.29</v>
      </c>
    </row>
    <row r="412" spans="1:20" hidden="1" x14ac:dyDescent="0.35">
      <c r="A412" s="20">
        <v>45993</v>
      </c>
      <c r="B412">
        <v>8137321831</v>
      </c>
      <c r="C412" t="s">
        <v>392</v>
      </c>
      <c r="H412" s="1">
        <v>116815.85</v>
      </c>
      <c r="I412" s="1">
        <v>5079</v>
      </c>
      <c r="J412" s="1"/>
      <c r="L412" s="8">
        <v>90</v>
      </c>
      <c r="M412" s="16" t="s">
        <v>530</v>
      </c>
      <c r="N412" t="s">
        <v>585</v>
      </c>
      <c r="O412" t="s">
        <v>16</v>
      </c>
      <c r="R412" s="3">
        <v>1</v>
      </c>
      <c r="S412" t="s">
        <v>18</v>
      </c>
      <c r="T412" s="2">
        <v>519844.76</v>
      </c>
    </row>
    <row r="413" spans="1:20" hidden="1" x14ac:dyDescent="0.35">
      <c r="A413" s="20">
        <v>45993</v>
      </c>
      <c r="B413">
        <v>8137321832</v>
      </c>
      <c r="C413" t="s">
        <v>393</v>
      </c>
      <c r="H413" s="1">
        <v>97486.65</v>
      </c>
      <c r="I413" s="1">
        <v>4239</v>
      </c>
      <c r="J413" s="1"/>
      <c r="L413" s="8">
        <v>90</v>
      </c>
      <c r="M413" s="16" t="s">
        <v>531</v>
      </c>
      <c r="N413" t="s">
        <v>585</v>
      </c>
      <c r="O413" t="s">
        <v>16</v>
      </c>
      <c r="R413" s="3">
        <v>1</v>
      </c>
      <c r="S413" t="s">
        <v>18</v>
      </c>
      <c r="T413" s="2">
        <v>519844.76</v>
      </c>
    </row>
    <row r="414" spans="1:20" hidden="1" x14ac:dyDescent="0.35">
      <c r="A414" s="20">
        <v>45993</v>
      </c>
      <c r="B414">
        <v>8137321834</v>
      </c>
      <c r="C414" t="s">
        <v>394</v>
      </c>
      <c r="H414" s="1">
        <v>157153.25</v>
      </c>
      <c r="I414" s="1">
        <v>6833</v>
      </c>
      <c r="J414" s="1"/>
      <c r="L414" s="8">
        <v>90</v>
      </c>
      <c r="M414" s="16" t="s">
        <v>532</v>
      </c>
      <c r="N414" t="s">
        <v>585</v>
      </c>
      <c r="O414" t="s">
        <v>16</v>
      </c>
      <c r="R414" s="3">
        <v>1</v>
      </c>
      <c r="S414" t="s">
        <v>18</v>
      </c>
      <c r="T414" s="2">
        <v>519844.76</v>
      </c>
    </row>
    <row r="415" spans="1:20" hidden="1" x14ac:dyDescent="0.35">
      <c r="A415" s="20">
        <v>45993</v>
      </c>
      <c r="B415">
        <v>8137321835</v>
      </c>
      <c r="C415" t="s">
        <v>314</v>
      </c>
      <c r="H415" s="1">
        <v>73939.25</v>
      </c>
      <c r="I415" s="1">
        <v>3215</v>
      </c>
      <c r="J415" s="1"/>
      <c r="L415" s="8">
        <v>90</v>
      </c>
      <c r="M415" s="16" t="s">
        <v>472</v>
      </c>
      <c r="N415" t="s">
        <v>584</v>
      </c>
      <c r="O415" t="s">
        <v>16</v>
      </c>
      <c r="R415" s="3">
        <v>1</v>
      </c>
      <c r="S415" t="s">
        <v>18</v>
      </c>
      <c r="T415" s="2">
        <v>411298.29</v>
      </c>
    </row>
    <row r="416" spans="1:20" hidden="1" x14ac:dyDescent="0.35">
      <c r="A416" s="20">
        <v>45993</v>
      </c>
      <c r="B416">
        <v>8137321879</v>
      </c>
      <c r="C416" t="s">
        <v>395</v>
      </c>
      <c r="H416" s="1">
        <v>266989.84999999998</v>
      </c>
      <c r="I416" s="1">
        <v>11608.25</v>
      </c>
      <c r="J416" s="1"/>
      <c r="L416" s="8">
        <v>90</v>
      </c>
      <c r="M416" s="16" t="s">
        <v>533</v>
      </c>
      <c r="N416" t="s">
        <v>585</v>
      </c>
      <c r="O416" t="s">
        <v>16</v>
      </c>
      <c r="R416" s="3">
        <v>1</v>
      </c>
      <c r="S416" t="s">
        <v>18</v>
      </c>
      <c r="T416" s="2">
        <v>519844.76</v>
      </c>
    </row>
    <row r="417" spans="1:20" hidden="1" x14ac:dyDescent="0.35">
      <c r="A417" s="20">
        <v>45993</v>
      </c>
      <c r="B417">
        <v>8137321884</v>
      </c>
      <c r="C417" t="s">
        <v>396</v>
      </c>
      <c r="H417" s="1">
        <v>142412.53000000003</v>
      </c>
      <c r="I417" s="1">
        <v>6191.85</v>
      </c>
      <c r="J417" s="1"/>
      <c r="L417" s="8">
        <v>90</v>
      </c>
      <c r="M417" s="16" t="s">
        <v>534</v>
      </c>
      <c r="N417" t="s">
        <v>585</v>
      </c>
      <c r="O417" t="s">
        <v>16</v>
      </c>
      <c r="R417" s="3">
        <v>1</v>
      </c>
      <c r="S417" t="s">
        <v>18</v>
      </c>
      <c r="T417" s="2">
        <v>519844.76</v>
      </c>
    </row>
    <row r="418" spans="1:20" hidden="1" x14ac:dyDescent="0.35">
      <c r="A418" s="20">
        <v>45993</v>
      </c>
      <c r="B418">
        <v>8137321885</v>
      </c>
      <c r="C418" t="s">
        <v>397</v>
      </c>
      <c r="H418" s="1">
        <v>257680.5</v>
      </c>
      <c r="I418" s="1">
        <v>11203.5</v>
      </c>
      <c r="J418" s="1"/>
      <c r="L418" s="8">
        <v>90</v>
      </c>
      <c r="M418" s="16" t="s">
        <v>535</v>
      </c>
      <c r="N418" t="s">
        <v>584</v>
      </c>
      <c r="O418" t="s">
        <v>16</v>
      </c>
      <c r="R418" s="3">
        <v>1</v>
      </c>
      <c r="S418" t="s">
        <v>18</v>
      </c>
      <c r="T418" s="2">
        <v>411298.29</v>
      </c>
    </row>
    <row r="419" spans="1:20" hidden="1" x14ac:dyDescent="0.35">
      <c r="A419" s="20">
        <v>45993</v>
      </c>
      <c r="B419">
        <v>8137321886</v>
      </c>
      <c r="C419" t="s">
        <v>398</v>
      </c>
      <c r="H419" s="1">
        <v>34433.440000000002</v>
      </c>
      <c r="I419" s="1">
        <v>1497.11</v>
      </c>
      <c r="J419" s="1"/>
      <c r="L419" s="8">
        <v>90</v>
      </c>
      <c r="M419" s="16" t="s">
        <v>536</v>
      </c>
      <c r="N419" t="s">
        <v>584</v>
      </c>
      <c r="O419" t="s">
        <v>16</v>
      </c>
      <c r="R419" s="3">
        <v>1</v>
      </c>
      <c r="S419" t="s">
        <v>18</v>
      </c>
      <c r="T419" s="2">
        <v>411298.29</v>
      </c>
    </row>
    <row r="420" spans="1:20" hidden="1" x14ac:dyDescent="0.35">
      <c r="A420" s="20">
        <v>45993</v>
      </c>
      <c r="B420">
        <v>8137321887</v>
      </c>
      <c r="C420" t="s">
        <v>399</v>
      </c>
      <c r="H420" s="1">
        <v>26486.799999999999</v>
      </c>
      <c r="I420" s="1">
        <v>1151.5999999999999</v>
      </c>
      <c r="J420" s="1"/>
      <c r="L420" s="8">
        <v>90</v>
      </c>
      <c r="M420" s="16" t="s">
        <v>537</v>
      </c>
      <c r="N420" t="s">
        <v>584</v>
      </c>
      <c r="O420" t="s">
        <v>16</v>
      </c>
      <c r="R420" s="3">
        <v>1</v>
      </c>
      <c r="S420" t="s">
        <v>18</v>
      </c>
      <c r="T420" s="2">
        <v>411298.29</v>
      </c>
    </row>
    <row r="421" spans="1:20" hidden="1" x14ac:dyDescent="0.35">
      <c r="A421" s="20">
        <v>45993</v>
      </c>
      <c r="B421">
        <v>8137321888</v>
      </c>
      <c r="C421" t="s">
        <v>400</v>
      </c>
      <c r="H421" s="1">
        <v>102858.44</v>
      </c>
      <c r="I421" s="1">
        <v>4472.1099999999997</v>
      </c>
      <c r="J421" s="1"/>
      <c r="L421" s="8">
        <v>90</v>
      </c>
      <c r="M421" s="16" t="s">
        <v>538</v>
      </c>
      <c r="N421" t="s">
        <v>585</v>
      </c>
      <c r="O421" t="s">
        <v>16</v>
      </c>
      <c r="R421" s="3">
        <v>1</v>
      </c>
      <c r="S421" t="s">
        <v>18</v>
      </c>
      <c r="T421" s="2">
        <v>519844.76</v>
      </c>
    </row>
    <row r="422" spans="1:20" hidden="1" x14ac:dyDescent="0.35">
      <c r="A422" s="20">
        <v>45993</v>
      </c>
      <c r="B422">
        <v>8137321930</v>
      </c>
      <c r="C422" t="s">
        <v>401</v>
      </c>
      <c r="H422" s="1">
        <v>51750</v>
      </c>
      <c r="I422" s="1">
        <v>2250</v>
      </c>
      <c r="J422" s="1"/>
      <c r="L422" s="8">
        <v>90</v>
      </c>
      <c r="M422" s="16" t="s">
        <v>539</v>
      </c>
      <c r="N422" t="s">
        <v>584</v>
      </c>
      <c r="O422" t="s">
        <v>16</v>
      </c>
      <c r="R422" s="3">
        <v>1</v>
      </c>
      <c r="S422" t="s">
        <v>18</v>
      </c>
      <c r="T422" s="2">
        <v>411298.29</v>
      </c>
    </row>
    <row r="423" spans="1:20" hidden="1" x14ac:dyDescent="0.35">
      <c r="A423" s="20">
        <v>45993</v>
      </c>
      <c r="B423">
        <v>8137321931</v>
      </c>
      <c r="C423" t="s">
        <v>402</v>
      </c>
      <c r="H423" s="1">
        <v>49450</v>
      </c>
      <c r="I423" s="1">
        <v>2150</v>
      </c>
      <c r="J423" s="1"/>
      <c r="L423" s="8">
        <v>90</v>
      </c>
      <c r="M423" s="16" t="s">
        <v>540</v>
      </c>
      <c r="N423" t="s">
        <v>584</v>
      </c>
      <c r="O423" t="s">
        <v>16</v>
      </c>
      <c r="R423" s="3">
        <v>1</v>
      </c>
      <c r="S423" t="s">
        <v>18</v>
      </c>
      <c r="T423" s="2">
        <v>411298.29</v>
      </c>
    </row>
    <row r="424" spans="1:20" hidden="1" x14ac:dyDescent="0.35">
      <c r="A424" s="20">
        <v>45993</v>
      </c>
      <c r="B424">
        <v>8137321935</v>
      </c>
      <c r="C424" t="s">
        <v>403</v>
      </c>
      <c r="H424" s="1">
        <v>23926.9</v>
      </c>
      <c r="I424" s="1">
        <v>1040.3</v>
      </c>
      <c r="J424" s="1"/>
      <c r="L424" s="8">
        <v>90</v>
      </c>
      <c r="M424" s="17" t="s">
        <v>541</v>
      </c>
      <c r="N424" t="s">
        <v>585</v>
      </c>
      <c r="O424" t="s">
        <v>16</v>
      </c>
      <c r="R424" s="3">
        <v>1</v>
      </c>
      <c r="S424" t="s">
        <v>18</v>
      </c>
      <c r="T424" s="2">
        <v>519844.76</v>
      </c>
    </row>
    <row r="425" spans="1:20" hidden="1" x14ac:dyDescent="0.35">
      <c r="A425" s="20">
        <v>45993</v>
      </c>
      <c r="B425">
        <v>8137321937</v>
      </c>
      <c r="C425" t="s">
        <v>404</v>
      </c>
      <c r="H425" s="1">
        <v>152950</v>
      </c>
      <c r="I425" s="1">
        <v>6650</v>
      </c>
      <c r="J425" s="1"/>
      <c r="L425" s="8">
        <v>90</v>
      </c>
      <c r="M425" s="17">
        <v>282291431831</v>
      </c>
      <c r="N425" t="s">
        <v>584</v>
      </c>
      <c r="O425" t="s">
        <v>16</v>
      </c>
      <c r="R425" s="3">
        <v>1</v>
      </c>
      <c r="S425" t="s">
        <v>18</v>
      </c>
      <c r="T425" s="2">
        <v>411298.29</v>
      </c>
    </row>
    <row r="426" spans="1:20" hidden="1" x14ac:dyDescent="0.35">
      <c r="A426" s="20">
        <v>45993</v>
      </c>
      <c r="B426">
        <v>8137321940</v>
      </c>
      <c r="C426" t="s">
        <v>405</v>
      </c>
      <c r="H426" s="1">
        <v>65550</v>
      </c>
      <c r="I426" s="1">
        <v>2850</v>
      </c>
      <c r="J426" s="1"/>
      <c r="L426" s="8">
        <v>90</v>
      </c>
      <c r="M426" s="17">
        <v>771133232909</v>
      </c>
      <c r="N426" t="s">
        <v>585</v>
      </c>
      <c r="O426" t="s">
        <v>16</v>
      </c>
      <c r="R426" s="3">
        <v>1</v>
      </c>
      <c r="S426" t="s">
        <v>18</v>
      </c>
      <c r="T426" s="2">
        <v>519844.76</v>
      </c>
    </row>
    <row r="427" spans="1:20" hidden="1" x14ac:dyDescent="0.35">
      <c r="A427" s="20">
        <v>45993</v>
      </c>
      <c r="B427">
        <v>8137321949</v>
      </c>
      <c r="C427" t="s">
        <v>337</v>
      </c>
      <c r="H427" s="1">
        <v>70312.45</v>
      </c>
      <c r="I427" s="1">
        <v>2253</v>
      </c>
      <c r="J427" s="1"/>
      <c r="L427" s="8">
        <v>90</v>
      </c>
      <c r="M427" s="16" t="s">
        <v>492</v>
      </c>
      <c r="N427" t="s">
        <v>585</v>
      </c>
      <c r="O427" t="s">
        <v>16</v>
      </c>
      <c r="R427" s="3">
        <v>1</v>
      </c>
      <c r="S427" t="s">
        <v>18</v>
      </c>
      <c r="T427" s="2">
        <v>519844.76</v>
      </c>
    </row>
    <row r="428" spans="1:20" hidden="1" x14ac:dyDescent="0.35">
      <c r="A428" s="20">
        <v>45993</v>
      </c>
      <c r="B428">
        <v>8137321950</v>
      </c>
      <c r="C428" t="s">
        <v>51</v>
      </c>
      <c r="H428" s="1">
        <v>45111.7</v>
      </c>
      <c r="I428" s="1">
        <v>1253</v>
      </c>
      <c r="J428" s="1"/>
      <c r="L428" s="9">
        <v>90</v>
      </c>
      <c r="M428" s="16" t="s">
        <v>200</v>
      </c>
      <c r="N428" t="s">
        <v>584</v>
      </c>
      <c r="O428" t="s">
        <v>16</v>
      </c>
      <c r="R428" s="3">
        <v>1</v>
      </c>
      <c r="S428" t="s">
        <v>18</v>
      </c>
      <c r="T428" s="2">
        <v>411298.29</v>
      </c>
    </row>
    <row r="429" spans="1:20" hidden="1" x14ac:dyDescent="0.35">
      <c r="A429" s="20">
        <v>45994</v>
      </c>
      <c r="B429">
        <v>8137321985</v>
      </c>
      <c r="C429" t="s">
        <v>406</v>
      </c>
      <c r="H429" s="1">
        <v>6600</v>
      </c>
      <c r="I429" s="1">
        <v>600</v>
      </c>
      <c r="J429" s="1"/>
      <c r="L429" s="8">
        <v>90</v>
      </c>
      <c r="M429" s="16" t="s">
        <v>201</v>
      </c>
      <c r="N429" t="s">
        <v>585</v>
      </c>
      <c r="O429" t="s">
        <v>16</v>
      </c>
      <c r="R429" s="3">
        <v>1</v>
      </c>
      <c r="S429" t="s">
        <v>18</v>
      </c>
      <c r="T429" s="2">
        <v>519844.76</v>
      </c>
    </row>
    <row r="430" spans="1:20" hidden="1" x14ac:dyDescent="0.35">
      <c r="A430" s="20">
        <v>45994</v>
      </c>
      <c r="B430">
        <v>8137322036</v>
      </c>
      <c r="C430" t="s">
        <v>407</v>
      </c>
      <c r="H430" s="1">
        <v>119841.5</v>
      </c>
      <c r="I430" s="1">
        <v>5210</v>
      </c>
      <c r="J430" s="1"/>
      <c r="L430" s="8">
        <v>90</v>
      </c>
      <c r="M430" s="16" t="s">
        <v>542</v>
      </c>
      <c r="N430" t="s">
        <v>584</v>
      </c>
      <c r="O430" t="s">
        <v>16</v>
      </c>
      <c r="R430" s="3">
        <v>1</v>
      </c>
      <c r="S430" t="s">
        <v>18</v>
      </c>
      <c r="T430" s="2">
        <v>411298.29</v>
      </c>
    </row>
    <row r="431" spans="1:20" hidden="1" x14ac:dyDescent="0.35">
      <c r="A431" s="20">
        <v>45994</v>
      </c>
      <c r="B431">
        <v>8137322180</v>
      </c>
      <c r="C431" t="s">
        <v>321</v>
      </c>
      <c r="H431" s="1">
        <v>3631.7</v>
      </c>
      <c r="I431" s="1">
        <v>158</v>
      </c>
      <c r="J431" s="1"/>
      <c r="L431" s="8">
        <v>90</v>
      </c>
      <c r="M431" s="16" t="s">
        <v>477</v>
      </c>
      <c r="N431" t="s">
        <v>584</v>
      </c>
      <c r="O431" t="s">
        <v>16</v>
      </c>
      <c r="R431" s="3">
        <v>1</v>
      </c>
      <c r="S431" t="s">
        <v>18</v>
      </c>
      <c r="T431" s="2">
        <v>411298.29</v>
      </c>
    </row>
    <row r="432" spans="1:20" hidden="1" x14ac:dyDescent="0.35">
      <c r="A432" s="20">
        <v>45994</v>
      </c>
      <c r="B432">
        <v>8137322181</v>
      </c>
      <c r="C432" t="s">
        <v>82</v>
      </c>
      <c r="H432" s="1">
        <v>50758.85</v>
      </c>
      <c r="I432" s="1">
        <v>1579</v>
      </c>
      <c r="J432" s="1"/>
      <c r="L432" s="3">
        <v>90</v>
      </c>
      <c r="M432" s="16" t="s">
        <v>213</v>
      </c>
      <c r="N432" t="s">
        <v>585</v>
      </c>
      <c r="O432" t="s">
        <v>16</v>
      </c>
      <c r="R432" s="3">
        <v>1</v>
      </c>
      <c r="S432" t="s">
        <v>18</v>
      </c>
      <c r="T432" s="2">
        <v>519844.76</v>
      </c>
    </row>
    <row r="433" spans="1:20" hidden="1" x14ac:dyDescent="0.35">
      <c r="A433" s="20">
        <v>45994</v>
      </c>
      <c r="B433">
        <v>8137322183</v>
      </c>
      <c r="C433" t="s">
        <v>408</v>
      </c>
      <c r="H433" s="1">
        <v>44362.5</v>
      </c>
      <c r="I433" s="1">
        <v>845</v>
      </c>
      <c r="J433" s="1"/>
      <c r="L433" s="3">
        <v>90</v>
      </c>
      <c r="M433" s="17" t="s">
        <v>543</v>
      </c>
      <c r="N433" t="s">
        <v>585</v>
      </c>
      <c r="O433" t="s">
        <v>16</v>
      </c>
      <c r="R433" s="3">
        <v>1</v>
      </c>
      <c r="S433" t="s">
        <v>18</v>
      </c>
      <c r="T433" s="2">
        <v>519844.76</v>
      </c>
    </row>
    <row r="434" spans="1:20" hidden="1" x14ac:dyDescent="0.35">
      <c r="A434" s="20">
        <v>45994</v>
      </c>
      <c r="B434">
        <v>8137322201</v>
      </c>
      <c r="C434" t="s">
        <v>409</v>
      </c>
      <c r="H434" s="1">
        <v>57637.8</v>
      </c>
      <c r="I434" s="1">
        <v>1885</v>
      </c>
      <c r="J434" s="1"/>
      <c r="L434" s="8">
        <v>90</v>
      </c>
      <c r="M434" s="16" t="s">
        <v>544</v>
      </c>
      <c r="N434" t="s">
        <v>584</v>
      </c>
      <c r="O434" t="s">
        <v>16</v>
      </c>
      <c r="R434" s="3">
        <v>1</v>
      </c>
      <c r="S434" t="s">
        <v>18</v>
      </c>
      <c r="T434" s="2">
        <v>411298.29</v>
      </c>
    </row>
    <row r="435" spans="1:20" hidden="1" x14ac:dyDescent="0.35">
      <c r="A435" s="20">
        <v>45994</v>
      </c>
      <c r="B435">
        <v>8137322207</v>
      </c>
      <c r="C435" t="s">
        <v>410</v>
      </c>
      <c r="H435" s="1">
        <v>78041</v>
      </c>
      <c r="I435" s="1">
        <v>2125</v>
      </c>
      <c r="J435" s="1"/>
      <c r="L435" s="9">
        <v>90</v>
      </c>
      <c r="M435" s="16">
        <v>234301877610</v>
      </c>
      <c r="N435" t="s">
        <v>585</v>
      </c>
      <c r="O435" t="s">
        <v>16</v>
      </c>
      <c r="R435" s="3">
        <v>1</v>
      </c>
      <c r="S435" t="s">
        <v>18</v>
      </c>
      <c r="T435" s="2">
        <v>519844.76</v>
      </c>
    </row>
    <row r="436" spans="1:20" hidden="1" x14ac:dyDescent="0.35">
      <c r="A436" s="20">
        <v>45994</v>
      </c>
      <c r="B436">
        <v>8137322237</v>
      </c>
      <c r="C436" t="s">
        <v>174</v>
      </c>
      <c r="H436" s="1">
        <v>41635.5</v>
      </c>
      <c r="I436" s="1">
        <v>1363</v>
      </c>
      <c r="J436" s="1"/>
      <c r="L436" s="8">
        <v>90</v>
      </c>
      <c r="M436" s="16" t="s">
        <v>253</v>
      </c>
      <c r="N436" t="s">
        <v>584</v>
      </c>
      <c r="O436" t="s">
        <v>16</v>
      </c>
      <c r="R436" s="3">
        <v>1</v>
      </c>
      <c r="S436" t="s">
        <v>18</v>
      </c>
      <c r="T436" s="2">
        <v>411298.29</v>
      </c>
    </row>
    <row r="437" spans="1:20" hidden="1" x14ac:dyDescent="0.35">
      <c r="A437" s="20">
        <v>45994</v>
      </c>
      <c r="B437">
        <v>8137322240</v>
      </c>
      <c r="C437" t="s">
        <v>318</v>
      </c>
      <c r="H437" s="1">
        <v>5040</v>
      </c>
      <c r="I437" s="1">
        <v>96</v>
      </c>
      <c r="J437" s="1"/>
      <c r="L437" s="3">
        <v>90</v>
      </c>
      <c r="M437" s="16" t="s">
        <v>476</v>
      </c>
      <c r="N437" t="s">
        <v>584</v>
      </c>
      <c r="O437" t="s">
        <v>16</v>
      </c>
      <c r="R437" s="3">
        <v>1</v>
      </c>
      <c r="S437" t="s">
        <v>18</v>
      </c>
      <c r="T437" s="2">
        <v>411298.29</v>
      </c>
    </row>
    <row r="438" spans="1:20" hidden="1" x14ac:dyDescent="0.35">
      <c r="A438" s="20">
        <v>45994</v>
      </c>
      <c r="B438">
        <v>8137322258</v>
      </c>
      <c r="C438" t="s">
        <v>325</v>
      </c>
      <c r="H438" s="1">
        <v>16655.36</v>
      </c>
      <c r="I438" s="1">
        <v>317.24</v>
      </c>
      <c r="J438" s="1"/>
      <c r="L438" s="3">
        <v>90</v>
      </c>
      <c r="M438" s="16" t="s">
        <v>481</v>
      </c>
      <c r="N438" t="s">
        <v>585</v>
      </c>
      <c r="O438" t="s">
        <v>16</v>
      </c>
      <c r="R438" s="3">
        <v>1</v>
      </c>
      <c r="S438" t="s">
        <v>18</v>
      </c>
      <c r="T438" s="2">
        <v>519844.76</v>
      </c>
    </row>
    <row r="439" spans="1:20" hidden="1" x14ac:dyDescent="0.35">
      <c r="A439" s="20">
        <v>45994</v>
      </c>
      <c r="B439">
        <v>8137322335</v>
      </c>
      <c r="C439" t="s">
        <v>314</v>
      </c>
      <c r="H439" s="1">
        <v>5629.25</v>
      </c>
      <c r="I439" s="1">
        <v>245</v>
      </c>
      <c r="J439" s="1"/>
      <c r="L439" s="8">
        <v>90</v>
      </c>
      <c r="M439" s="16" t="s">
        <v>472</v>
      </c>
      <c r="N439" t="s">
        <v>584</v>
      </c>
      <c r="O439" t="s">
        <v>16</v>
      </c>
      <c r="R439" s="3">
        <v>1</v>
      </c>
      <c r="S439" t="s">
        <v>18</v>
      </c>
      <c r="T439" s="2">
        <v>411298.29</v>
      </c>
    </row>
    <row r="440" spans="1:20" hidden="1" x14ac:dyDescent="0.35">
      <c r="A440" s="20">
        <v>45994</v>
      </c>
      <c r="B440">
        <v>8137322336</v>
      </c>
      <c r="C440" t="s">
        <v>31</v>
      </c>
      <c r="H440" s="1">
        <v>5629.25</v>
      </c>
      <c r="I440" s="1">
        <v>245</v>
      </c>
      <c r="J440" s="1"/>
      <c r="L440" s="8">
        <v>90</v>
      </c>
      <c r="M440" s="16" t="s">
        <v>188</v>
      </c>
      <c r="N440" t="s">
        <v>584</v>
      </c>
      <c r="O440" t="s">
        <v>16</v>
      </c>
      <c r="R440" s="3">
        <v>1</v>
      </c>
      <c r="S440" t="s">
        <v>18</v>
      </c>
      <c r="T440" s="2">
        <v>411298.29</v>
      </c>
    </row>
    <row r="441" spans="1:20" hidden="1" x14ac:dyDescent="0.35">
      <c r="A441" s="20">
        <v>45994</v>
      </c>
      <c r="B441">
        <v>8137322337</v>
      </c>
      <c r="C441" t="s">
        <v>32</v>
      </c>
      <c r="H441" s="1">
        <v>1815.85</v>
      </c>
      <c r="I441" s="1">
        <v>79</v>
      </c>
      <c r="J441" s="1"/>
      <c r="L441" s="8">
        <v>90</v>
      </c>
      <c r="M441" s="16" t="s">
        <v>258</v>
      </c>
      <c r="N441" t="s">
        <v>584</v>
      </c>
      <c r="O441" t="s">
        <v>16</v>
      </c>
      <c r="R441" s="3">
        <v>1</v>
      </c>
      <c r="S441" t="s">
        <v>18</v>
      </c>
      <c r="T441" s="2">
        <v>411298.29</v>
      </c>
    </row>
    <row r="442" spans="1:20" hidden="1" x14ac:dyDescent="0.35">
      <c r="A442" s="20">
        <v>45994</v>
      </c>
      <c r="B442">
        <v>8137322338</v>
      </c>
      <c r="C442" t="s">
        <v>13</v>
      </c>
      <c r="H442" s="1">
        <v>4400</v>
      </c>
      <c r="I442" s="1">
        <v>400</v>
      </c>
      <c r="J442" s="1"/>
      <c r="L442" s="3">
        <v>90</v>
      </c>
      <c r="M442" s="16" t="s">
        <v>201</v>
      </c>
      <c r="N442" t="s">
        <v>585</v>
      </c>
      <c r="O442" t="s">
        <v>16</v>
      </c>
      <c r="R442" s="3">
        <v>1</v>
      </c>
      <c r="S442" t="s">
        <v>18</v>
      </c>
      <c r="T442" s="2">
        <v>519844.76</v>
      </c>
    </row>
    <row r="443" spans="1:20" hidden="1" x14ac:dyDescent="0.35">
      <c r="A443" s="20">
        <v>45994</v>
      </c>
      <c r="B443">
        <v>8137322339</v>
      </c>
      <c r="C443" t="s">
        <v>411</v>
      </c>
      <c r="H443" s="1">
        <v>21728</v>
      </c>
      <c r="I443" s="1">
        <v>1889</v>
      </c>
      <c r="J443" s="1"/>
      <c r="L443" s="3">
        <v>90</v>
      </c>
      <c r="M443" s="16" t="s">
        <v>545</v>
      </c>
      <c r="N443" t="s">
        <v>584</v>
      </c>
      <c r="O443" t="s">
        <v>16</v>
      </c>
      <c r="R443" s="3">
        <v>1</v>
      </c>
      <c r="S443" t="s">
        <v>18</v>
      </c>
      <c r="T443" s="2">
        <v>411298.29</v>
      </c>
    </row>
    <row r="444" spans="1:20" hidden="1" x14ac:dyDescent="0.35">
      <c r="A444" s="20">
        <v>45994</v>
      </c>
      <c r="B444">
        <v>8137322340</v>
      </c>
      <c r="C444" t="s">
        <v>313</v>
      </c>
      <c r="H444" s="1">
        <v>17974.5</v>
      </c>
      <c r="I444" s="1">
        <v>780</v>
      </c>
      <c r="J444" s="1"/>
      <c r="L444" s="8">
        <v>90</v>
      </c>
      <c r="M444" s="16" t="s">
        <v>295</v>
      </c>
      <c r="N444" t="s">
        <v>585</v>
      </c>
      <c r="O444" t="s">
        <v>16</v>
      </c>
      <c r="R444" s="3">
        <v>1</v>
      </c>
      <c r="S444" t="s">
        <v>18</v>
      </c>
      <c r="T444" s="2">
        <v>519844.76</v>
      </c>
    </row>
    <row r="445" spans="1:20" hidden="1" x14ac:dyDescent="0.35">
      <c r="A445" s="20">
        <v>45994</v>
      </c>
      <c r="B445">
        <v>8137322341</v>
      </c>
      <c r="C445" t="s">
        <v>412</v>
      </c>
      <c r="H445" s="1">
        <v>66215.849999999991</v>
      </c>
      <c r="I445" s="1">
        <v>2879</v>
      </c>
      <c r="J445" s="1"/>
      <c r="L445" s="8">
        <v>90</v>
      </c>
      <c r="M445" s="16" t="s">
        <v>546</v>
      </c>
      <c r="N445" t="s">
        <v>585</v>
      </c>
      <c r="O445" t="s">
        <v>16</v>
      </c>
      <c r="R445" s="3">
        <v>1</v>
      </c>
      <c r="S445" t="s">
        <v>18</v>
      </c>
      <c r="T445" s="2">
        <v>519844.76</v>
      </c>
    </row>
    <row r="446" spans="1:20" hidden="1" x14ac:dyDescent="0.35">
      <c r="A446" s="20">
        <v>45994</v>
      </c>
      <c r="B446">
        <v>8137322362</v>
      </c>
      <c r="C446" t="s">
        <v>413</v>
      </c>
      <c r="H446" s="1">
        <v>48811.75</v>
      </c>
      <c r="I446" s="1">
        <v>2122</v>
      </c>
      <c r="J446" s="1"/>
      <c r="L446" s="8">
        <v>90</v>
      </c>
      <c r="M446" s="16" t="s">
        <v>547</v>
      </c>
      <c r="N446" t="s">
        <v>584</v>
      </c>
      <c r="O446" t="s">
        <v>16</v>
      </c>
      <c r="R446" s="3">
        <v>1</v>
      </c>
      <c r="S446" t="s">
        <v>18</v>
      </c>
      <c r="T446" s="2">
        <v>411298.29</v>
      </c>
    </row>
    <row r="447" spans="1:20" hidden="1" x14ac:dyDescent="0.35">
      <c r="A447" s="20">
        <v>45994</v>
      </c>
      <c r="B447">
        <v>8137322365</v>
      </c>
      <c r="C447" t="s">
        <v>414</v>
      </c>
      <c r="H447" s="1">
        <v>239400.1</v>
      </c>
      <c r="I447" s="1">
        <v>10409</v>
      </c>
      <c r="J447" s="1"/>
      <c r="L447" s="8">
        <v>90</v>
      </c>
      <c r="M447" s="17">
        <v>334724606702</v>
      </c>
      <c r="N447" t="s">
        <v>584</v>
      </c>
      <c r="O447" t="s">
        <v>16</v>
      </c>
      <c r="R447" s="3">
        <v>1</v>
      </c>
      <c r="S447" t="s">
        <v>18</v>
      </c>
      <c r="T447" s="2">
        <v>411298.29</v>
      </c>
    </row>
    <row r="448" spans="1:20" hidden="1" x14ac:dyDescent="0.35">
      <c r="A448" s="20">
        <v>45994</v>
      </c>
      <c r="B448">
        <v>8137322366</v>
      </c>
      <c r="C448" t="s">
        <v>415</v>
      </c>
      <c r="H448" s="1">
        <v>54668.7</v>
      </c>
      <c r="I448" s="1">
        <v>2377</v>
      </c>
      <c r="J448" s="1"/>
      <c r="L448" s="8">
        <v>90</v>
      </c>
      <c r="M448" s="16" t="s">
        <v>548</v>
      </c>
      <c r="N448" t="s">
        <v>585</v>
      </c>
      <c r="O448" t="s">
        <v>16</v>
      </c>
      <c r="R448" s="3">
        <v>1</v>
      </c>
      <c r="S448" t="s">
        <v>18</v>
      </c>
      <c r="T448" s="2">
        <v>519844.76</v>
      </c>
    </row>
    <row r="449" spans="1:20" hidden="1" x14ac:dyDescent="0.35">
      <c r="A449" s="20">
        <v>45994</v>
      </c>
      <c r="B449">
        <v>8137322369</v>
      </c>
      <c r="C449" t="s">
        <v>317</v>
      </c>
      <c r="H449" s="1">
        <v>336172.6</v>
      </c>
      <c r="I449" s="1">
        <v>14616.2</v>
      </c>
      <c r="J449" s="1"/>
      <c r="L449" s="8">
        <v>90</v>
      </c>
      <c r="M449" s="16" t="s">
        <v>475</v>
      </c>
      <c r="N449" t="s">
        <v>585</v>
      </c>
      <c r="O449" t="s">
        <v>16</v>
      </c>
      <c r="R449" s="3">
        <v>1</v>
      </c>
      <c r="S449" t="s">
        <v>18</v>
      </c>
      <c r="T449" s="2">
        <v>519844.76</v>
      </c>
    </row>
    <row r="450" spans="1:20" hidden="1" x14ac:dyDescent="0.35">
      <c r="A450" s="20">
        <v>45994</v>
      </c>
      <c r="B450">
        <v>8137322372</v>
      </c>
      <c r="C450" t="s">
        <v>416</v>
      </c>
      <c r="H450" s="1">
        <v>90923.6</v>
      </c>
      <c r="I450" s="1">
        <v>3953.2</v>
      </c>
      <c r="J450" s="1"/>
      <c r="L450" s="8">
        <v>90</v>
      </c>
      <c r="M450" s="16" t="s">
        <v>549</v>
      </c>
      <c r="N450" t="s">
        <v>585</v>
      </c>
      <c r="O450" t="s">
        <v>16</v>
      </c>
      <c r="R450" s="3">
        <v>1</v>
      </c>
      <c r="S450" t="s">
        <v>18</v>
      </c>
      <c r="T450" s="2">
        <v>519844.76</v>
      </c>
    </row>
    <row r="451" spans="1:20" hidden="1" x14ac:dyDescent="0.35">
      <c r="A451" s="20">
        <v>45994</v>
      </c>
      <c r="B451">
        <v>8137322426</v>
      </c>
      <c r="C451" t="s">
        <v>417</v>
      </c>
      <c r="H451" s="1">
        <v>54625</v>
      </c>
      <c r="I451" s="1">
        <v>2375</v>
      </c>
      <c r="J451" s="1"/>
      <c r="L451" s="8">
        <v>90</v>
      </c>
      <c r="M451" s="17" t="s">
        <v>550</v>
      </c>
      <c r="N451" t="s">
        <v>585</v>
      </c>
      <c r="O451" t="s">
        <v>16</v>
      </c>
      <c r="R451" s="3">
        <v>1</v>
      </c>
      <c r="S451" t="s">
        <v>18</v>
      </c>
      <c r="T451" s="2">
        <v>519844.76</v>
      </c>
    </row>
    <row r="452" spans="1:20" hidden="1" x14ac:dyDescent="0.35">
      <c r="A452" s="20">
        <v>45994</v>
      </c>
      <c r="B452">
        <v>8137322443</v>
      </c>
      <c r="C452" t="s">
        <v>418</v>
      </c>
      <c r="H452" s="1">
        <v>748464.85</v>
      </c>
      <c r="I452" s="1">
        <v>32541.95</v>
      </c>
      <c r="J452" s="1"/>
      <c r="L452" s="3">
        <v>90</v>
      </c>
      <c r="M452" s="17">
        <v>137017363529</v>
      </c>
      <c r="N452" t="s">
        <v>584</v>
      </c>
      <c r="O452" t="s">
        <v>16</v>
      </c>
      <c r="R452" s="3">
        <v>1</v>
      </c>
      <c r="S452" t="s">
        <v>18</v>
      </c>
      <c r="T452" s="2">
        <v>411298.29</v>
      </c>
    </row>
    <row r="453" spans="1:20" hidden="1" x14ac:dyDescent="0.35">
      <c r="A453" s="20">
        <v>45994</v>
      </c>
      <c r="B453">
        <v>8137322494</v>
      </c>
      <c r="C453" t="s">
        <v>419</v>
      </c>
      <c r="H453" s="1">
        <v>82225</v>
      </c>
      <c r="I453" s="1">
        <v>3575</v>
      </c>
      <c r="J453" s="1"/>
      <c r="L453" s="8">
        <v>90</v>
      </c>
      <c r="M453" s="16" t="s">
        <v>226</v>
      </c>
      <c r="N453" t="s">
        <v>585</v>
      </c>
      <c r="O453" t="s">
        <v>16</v>
      </c>
      <c r="R453" s="3">
        <v>1</v>
      </c>
      <c r="S453" t="s">
        <v>18</v>
      </c>
      <c r="T453" s="2">
        <v>519844.76</v>
      </c>
    </row>
    <row r="454" spans="1:20" hidden="1" x14ac:dyDescent="0.35">
      <c r="A454" s="20">
        <v>45995</v>
      </c>
      <c r="B454">
        <v>8137322632</v>
      </c>
      <c r="C454" t="s">
        <v>420</v>
      </c>
      <c r="H454" s="1">
        <v>4025</v>
      </c>
      <c r="I454" s="1">
        <v>350</v>
      </c>
      <c r="J454" s="1"/>
      <c r="L454" s="3">
        <v>90</v>
      </c>
      <c r="M454" s="16" t="s">
        <v>551</v>
      </c>
      <c r="N454" t="s">
        <v>584</v>
      </c>
      <c r="O454" t="s">
        <v>16</v>
      </c>
      <c r="R454" s="3">
        <v>1</v>
      </c>
      <c r="S454" t="s">
        <v>18</v>
      </c>
      <c r="T454" s="2">
        <v>411298.29</v>
      </c>
    </row>
    <row r="455" spans="1:20" hidden="1" x14ac:dyDescent="0.35">
      <c r="A455" s="20">
        <v>45998</v>
      </c>
      <c r="B455">
        <v>8137329164</v>
      </c>
      <c r="C455" t="s">
        <v>19</v>
      </c>
      <c r="H455" s="1">
        <v>15065</v>
      </c>
      <c r="I455" s="1">
        <v>262</v>
      </c>
      <c r="J455" s="1"/>
      <c r="L455" s="8">
        <v>90</v>
      </c>
      <c r="M455" s="16" t="s">
        <v>552</v>
      </c>
      <c r="N455" t="s">
        <v>585</v>
      </c>
      <c r="O455" t="s">
        <v>16</v>
      </c>
      <c r="R455" s="3">
        <v>1</v>
      </c>
      <c r="S455" t="s">
        <v>18</v>
      </c>
      <c r="T455" s="2">
        <v>519844.76</v>
      </c>
    </row>
    <row r="456" spans="1:20" hidden="1" x14ac:dyDescent="0.35">
      <c r="A456" s="20">
        <v>45998</v>
      </c>
      <c r="B456">
        <v>8137329167</v>
      </c>
      <c r="C456" t="s">
        <v>421</v>
      </c>
      <c r="H456" s="1">
        <v>95153.3</v>
      </c>
      <c r="I456" s="1">
        <v>4137.1000000000004</v>
      </c>
      <c r="J456" s="1"/>
      <c r="L456" s="8">
        <v>90</v>
      </c>
      <c r="M456" s="17">
        <v>668794621897</v>
      </c>
      <c r="N456" t="s">
        <v>584</v>
      </c>
      <c r="O456" t="s">
        <v>16</v>
      </c>
      <c r="R456" s="3">
        <v>1</v>
      </c>
      <c r="S456" t="s">
        <v>18</v>
      </c>
      <c r="T456" s="2">
        <v>411298.29</v>
      </c>
    </row>
    <row r="457" spans="1:20" hidden="1" x14ac:dyDescent="0.35">
      <c r="A457" s="20">
        <v>45998</v>
      </c>
      <c r="B457">
        <v>8137329168</v>
      </c>
      <c r="C457" t="s">
        <v>422</v>
      </c>
      <c r="H457" s="1">
        <v>47186.8</v>
      </c>
      <c r="I457" s="1">
        <v>2051.6</v>
      </c>
      <c r="J457" s="1"/>
      <c r="L457" s="8">
        <v>90</v>
      </c>
      <c r="M457" s="17" t="s">
        <v>553</v>
      </c>
      <c r="N457" t="s">
        <v>584</v>
      </c>
      <c r="O457" t="s">
        <v>16</v>
      </c>
      <c r="R457" s="3">
        <v>1</v>
      </c>
      <c r="S457" t="s">
        <v>18</v>
      </c>
      <c r="T457" s="2">
        <v>411298.29</v>
      </c>
    </row>
    <row r="458" spans="1:20" hidden="1" x14ac:dyDescent="0.35">
      <c r="A458" s="20">
        <v>45998</v>
      </c>
      <c r="B458">
        <v>8137329177</v>
      </c>
      <c r="C458" t="s">
        <v>423</v>
      </c>
      <c r="H458" s="1">
        <v>109175.25</v>
      </c>
      <c r="I458" s="1">
        <v>4746.75</v>
      </c>
      <c r="J458" s="1"/>
      <c r="L458" s="8">
        <v>90</v>
      </c>
      <c r="M458" s="17" t="s">
        <v>554</v>
      </c>
      <c r="N458" t="s">
        <v>585</v>
      </c>
      <c r="O458" t="s">
        <v>16</v>
      </c>
      <c r="R458" s="3">
        <v>1</v>
      </c>
      <c r="S458" t="s">
        <v>18</v>
      </c>
      <c r="T458" s="2">
        <v>519844.76</v>
      </c>
    </row>
    <row r="459" spans="1:20" hidden="1" x14ac:dyDescent="0.35">
      <c r="A459" s="20">
        <v>45998</v>
      </c>
      <c r="B459">
        <v>8137329184</v>
      </c>
      <c r="C459" t="s">
        <v>424</v>
      </c>
      <c r="H459" s="1">
        <v>49450</v>
      </c>
      <c r="I459" s="1">
        <v>2150</v>
      </c>
      <c r="J459" s="1"/>
      <c r="L459" s="8">
        <v>90</v>
      </c>
      <c r="M459" s="17">
        <v>872398175049</v>
      </c>
      <c r="N459" t="s">
        <v>584</v>
      </c>
      <c r="O459" t="s">
        <v>16</v>
      </c>
      <c r="R459" s="3">
        <v>1</v>
      </c>
      <c r="S459" t="s">
        <v>18</v>
      </c>
      <c r="T459" s="2">
        <v>411298.29</v>
      </c>
    </row>
    <row r="460" spans="1:20" hidden="1" x14ac:dyDescent="0.35">
      <c r="A460" s="20">
        <v>45998</v>
      </c>
      <c r="B460">
        <v>8137329209</v>
      </c>
      <c r="C460" t="s">
        <v>318</v>
      </c>
      <c r="H460" s="1">
        <v>1701</v>
      </c>
      <c r="I460" s="1">
        <v>32</v>
      </c>
      <c r="J460" s="1"/>
      <c r="L460" s="3">
        <v>90</v>
      </c>
      <c r="M460" s="17" t="s">
        <v>476</v>
      </c>
      <c r="N460" t="s">
        <v>584</v>
      </c>
      <c r="O460" t="s">
        <v>16</v>
      </c>
      <c r="R460" s="3">
        <v>1</v>
      </c>
      <c r="S460" t="s">
        <v>18</v>
      </c>
      <c r="T460" s="2">
        <v>411298.29</v>
      </c>
    </row>
    <row r="461" spans="1:20" hidden="1" x14ac:dyDescent="0.35">
      <c r="A461" s="20">
        <v>45998</v>
      </c>
      <c r="B461">
        <v>8137329277</v>
      </c>
      <c r="C461" t="s">
        <v>325</v>
      </c>
      <c r="H461" s="1">
        <v>16489.29</v>
      </c>
      <c r="I461" s="1">
        <v>314.08</v>
      </c>
      <c r="J461" s="1"/>
      <c r="L461" s="3">
        <v>90</v>
      </c>
      <c r="M461" s="17" t="s">
        <v>481</v>
      </c>
      <c r="N461" t="s">
        <v>585</v>
      </c>
      <c r="O461" t="s">
        <v>16</v>
      </c>
      <c r="R461" s="3">
        <v>1</v>
      </c>
      <c r="S461" t="s">
        <v>18</v>
      </c>
      <c r="T461" s="2">
        <v>519844.76</v>
      </c>
    </row>
    <row r="462" spans="1:20" hidden="1" x14ac:dyDescent="0.35">
      <c r="A462" s="20">
        <v>45998</v>
      </c>
      <c r="B462">
        <v>8137329313</v>
      </c>
      <c r="C462" t="s">
        <v>334</v>
      </c>
      <c r="H462" s="1">
        <v>20091.7</v>
      </c>
      <c r="I462" s="1">
        <v>648</v>
      </c>
      <c r="J462" s="1"/>
      <c r="L462" s="8">
        <v>90</v>
      </c>
      <c r="M462" s="16" t="s">
        <v>489</v>
      </c>
      <c r="N462" t="s">
        <v>584</v>
      </c>
      <c r="O462" t="s">
        <v>16</v>
      </c>
      <c r="R462" s="3">
        <v>1</v>
      </c>
      <c r="S462" t="s">
        <v>18</v>
      </c>
      <c r="T462" s="2">
        <v>411298.29</v>
      </c>
    </row>
    <row r="463" spans="1:20" hidden="1" x14ac:dyDescent="0.35">
      <c r="A463" s="20">
        <v>45998</v>
      </c>
      <c r="B463">
        <v>8137329600</v>
      </c>
      <c r="C463" t="s">
        <v>425</v>
      </c>
      <c r="H463" s="1">
        <v>66666.58</v>
      </c>
      <c r="I463" s="1">
        <v>157.88999999999999</v>
      </c>
      <c r="J463" s="1"/>
      <c r="L463" s="3">
        <v>90</v>
      </c>
      <c r="M463" s="16" t="s">
        <v>555</v>
      </c>
      <c r="N463" t="s">
        <v>585</v>
      </c>
      <c r="O463" t="s">
        <v>16</v>
      </c>
      <c r="R463" s="3">
        <v>1</v>
      </c>
      <c r="S463" t="s">
        <v>18</v>
      </c>
      <c r="T463" s="2">
        <v>519844.76</v>
      </c>
    </row>
    <row r="464" spans="1:20" hidden="1" x14ac:dyDescent="0.35">
      <c r="A464" s="20">
        <v>45998</v>
      </c>
      <c r="B464">
        <v>8137329727</v>
      </c>
      <c r="C464" t="s">
        <v>321</v>
      </c>
      <c r="H464" s="1">
        <v>1815.85</v>
      </c>
      <c r="I464" s="1">
        <v>79</v>
      </c>
      <c r="J464" s="1"/>
      <c r="L464" s="8">
        <v>90</v>
      </c>
      <c r="M464" s="16" t="s">
        <v>477</v>
      </c>
      <c r="N464" t="s">
        <v>584</v>
      </c>
      <c r="O464" t="s">
        <v>16</v>
      </c>
      <c r="R464" s="3">
        <v>1</v>
      </c>
      <c r="S464" t="s">
        <v>18</v>
      </c>
      <c r="T464" s="2">
        <v>411298.29</v>
      </c>
    </row>
    <row r="465" spans="1:20" hidden="1" x14ac:dyDescent="0.35">
      <c r="A465" s="20">
        <v>45998</v>
      </c>
      <c r="B465">
        <v>8137329827</v>
      </c>
      <c r="C465" t="s">
        <v>426</v>
      </c>
      <c r="H465" s="1">
        <v>19478.55</v>
      </c>
      <c r="I465" s="1">
        <v>371</v>
      </c>
      <c r="J465" s="1"/>
      <c r="L465" s="3">
        <v>90</v>
      </c>
      <c r="M465" s="17">
        <v>128235379332</v>
      </c>
      <c r="N465" t="s">
        <v>585</v>
      </c>
      <c r="O465" t="s">
        <v>16</v>
      </c>
      <c r="R465" s="3">
        <v>1</v>
      </c>
      <c r="S465" t="s">
        <v>18</v>
      </c>
      <c r="T465" s="2">
        <v>519844.76</v>
      </c>
    </row>
    <row r="466" spans="1:20" hidden="1" x14ac:dyDescent="0.35">
      <c r="A466" s="20">
        <v>45998</v>
      </c>
      <c r="B466">
        <v>8137329828</v>
      </c>
      <c r="C466" t="s">
        <v>427</v>
      </c>
      <c r="H466" s="1">
        <v>71743.350000000006</v>
      </c>
      <c r="I466" s="1">
        <v>1367</v>
      </c>
      <c r="J466" s="1"/>
      <c r="L466" s="3">
        <v>90</v>
      </c>
      <c r="M466" s="17">
        <v>424349274765</v>
      </c>
      <c r="N466" t="s">
        <v>585</v>
      </c>
      <c r="O466" t="s">
        <v>16</v>
      </c>
      <c r="R466" s="3">
        <v>1</v>
      </c>
      <c r="S466" t="s">
        <v>18</v>
      </c>
      <c r="T466" s="2">
        <v>519844.76</v>
      </c>
    </row>
    <row r="467" spans="1:20" hidden="1" x14ac:dyDescent="0.35">
      <c r="A467" s="20">
        <v>45999</v>
      </c>
      <c r="B467">
        <v>8137329936</v>
      </c>
      <c r="C467" t="s">
        <v>313</v>
      </c>
      <c r="H467" s="1">
        <v>9987.75</v>
      </c>
      <c r="I467" s="1">
        <v>435</v>
      </c>
      <c r="J467" s="1"/>
      <c r="L467" s="8">
        <v>90</v>
      </c>
      <c r="M467" s="17" t="s">
        <v>295</v>
      </c>
      <c r="N467" t="s">
        <v>585</v>
      </c>
      <c r="O467" t="s">
        <v>16</v>
      </c>
      <c r="R467" s="3">
        <v>1</v>
      </c>
      <c r="S467" t="s">
        <v>18</v>
      </c>
      <c r="T467" s="2">
        <v>519844.76</v>
      </c>
    </row>
    <row r="468" spans="1:20" hidden="1" x14ac:dyDescent="0.35">
      <c r="A468" s="20">
        <v>45999</v>
      </c>
      <c r="B468">
        <v>8137329944</v>
      </c>
      <c r="C468" t="s">
        <v>428</v>
      </c>
      <c r="H468" s="1">
        <v>45073.1</v>
      </c>
      <c r="I468" s="1">
        <v>1959.7</v>
      </c>
      <c r="J468" s="1"/>
      <c r="L468" s="8">
        <v>90</v>
      </c>
      <c r="M468" s="17" t="s">
        <v>556</v>
      </c>
      <c r="N468" t="s">
        <v>585</v>
      </c>
      <c r="O468" t="s">
        <v>16</v>
      </c>
      <c r="R468" s="3">
        <v>1</v>
      </c>
      <c r="S468" t="s">
        <v>18</v>
      </c>
      <c r="T468" s="2">
        <v>519844.76</v>
      </c>
    </row>
    <row r="469" spans="1:20" hidden="1" x14ac:dyDescent="0.35">
      <c r="A469" s="20">
        <v>45999</v>
      </c>
      <c r="B469">
        <v>8137330326</v>
      </c>
      <c r="C469" t="s">
        <v>429</v>
      </c>
      <c r="H469" s="1">
        <v>135995.54999999999</v>
      </c>
      <c r="I469" s="1">
        <v>5913</v>
      </c>
      <c r="J469" s="1"/>
      <c r="L469" s="8">
        <v>90</v>
      </c>
      <c r="M469" s="17" t="s">
        <v>557</v>
      </c>
      <c r="N469" t="s">
        <v>585</v>
      </c>
      <c r="O469" t="s">
        <v>16</v>
      </c>
      <c r="R469" s="3">
        <v>1</v>
      </c>
      <c r="S469" t="s">
        <v>18</v>
      </c>
      <c r="T469" s="2">
        <v>519844.76</v>
      </c>
    </row>
    <row r="470" spans="1:20" hidden="1" x14ac:dyDescent="0.35">
      <c r="A470" s="20">
        <v>45999</v>
      </c>
      <c r="B470">
        <v>8137330329</v>
      </c>
      <c r="C470" t="s">
        <v>430</v>
      </c>
      <c r="H470" s="1">
        <v>356955.4</v>
      </c>
      <c r="I470" s="1">
        <v>15520</v>
      </c>
      <c r="J470" s="1"/>
      <c r="L470" s="8">
        <v>90</v>
      </c>
      <c r="M470" s="16" t="s">
        <v>541</v>
      </c>
      <c r="N470" t="s">
        <v>585</v>
      </c>
      <c r="O470" t="s">
        <v>16</v>
      </c>
      <c r="R470" s="3">
        <v>1</v>
      </c>
      <c r="S470" t="s">
        <v>18</v>
      </c>
      <c r="T470" s="2">
        <v>519844.76</v>
      </c>
    </row>
    <row r="471" spans="1:20" hidden="1" x14ac:dyDescent="0.35">
      <c r="A471" s="20">
        <v>45999</v>
      </c>
      <c r="B471">
        <v>8137330335</v>
      </c>
      <c r="C471" t="s">
        <v>431</v>
      </c>
      <c r="H471" s="1">
        <v>15525</v>
      </c>
      <c r="I471" s="1">
        <v>675</v>
      </c>
      <c r="J471" s="1"/>
      <c r="L471" s="8">
        <v>90</v>
      </c>
      <c r="M471" s="16" t="s">
        <v>558</v>
      </c>
      <c r="N471" t="s">
        <v>585</v>
      </c>
      <c r="O471" t="s">
        <v>16</v>
      </c>
      <c r="R471" s="3">
        <v>1</v>
      </c>
      <c r="S471" t="s">
        <v>18</v>
      </c>
      <c r="T471" s="2">
        <v>519844.76</v>
      </c>
    </row>
    <row r="472" spans="1:20" hidden="1" x14ac:dyDescent="0.35">
      <c r="A472" s="20">
        <v>45999</v>
      </c>
      <c r="B472">
        <v>8137330340</v>
      </c>
      <c r="C472" t="s">
        <v>432</v>
      </c>
      <c r="H472" s="1">
        <v>385712.29999999993</v>
      </c>
      <c r="I472" s="1">
        <v>16770</v>
      </c>
      <c r="J472" s="1"/>
      <c r="L472" s="8">
        <v>90</v>
      </c>
      <c r="M472" s="16" t="s">
        <v>559</v>
      </c>
      <c r="N472" t="s">
        <v>585</v>
      </c>
      <c r="O472" t="s">
        <v>16</v>
      </c>
      <c r="R472" s="3">
        <v>1</v>
      </c>
      <c r="S472" t="s">
        <v>18</v>
      </c>
      <c r="T472" s="2">
        <v>519844.76</v>
      </c>
    </row>
    <row r="473" spans="1:20" hidden="1" x14ac:dyDescent="0.35">
      <c r="A473" s="20">
        <v>45999</v>
      </c>
      <c r="B473">
        <v>8137330342</v>
      </c>
      <c r="C473" t="s">
        <v>433</v>
      </c>
      <c r="H473" s="1">
        <v>3450</v>
      </c>
      <c r="I473" s="1">
        <v>150</v>
      </c>
      <c r="J473" s="1"/>
      <c r="L473" s="8">
        <v>90</v>
      </c>
      <c r="M473" s="16" t="s">
        <v>560</v>
      </c>
      <c r="N473" t="s">
        <v>584</v>
      </c>
      <c r="O473" t="s">
        <v>16</v>
      </c>
      <c r="R473" s="3">
        <v>1</v>
      </c>
      <c r="S473" t="s">
        <v>18</v>
      </c>
      <c r="T473" s="2">
        <v>411298.29</v>
      </c>
    </row>
    <row r="474" spans="1:20" hidden="1" x14ac:dyDescent="0.35">
      <c r="A474" s="20">
        <v>45999</v>
      </c>
      <c r="B474">
        <v>8137330345</v>
      </c>
      <c r="C474" t="s">
        <v>434</v>
      </c>
      <c r="H474" s="1">
        <v>137775.75</v>
      </c>
      <c r="I474" s="1">
        <v>5990</v>
      </c>
      <c r="J474" s="1"/>
      <c r="L474" s="8">
        <v>90</v>
      </c>
      <c r="M474" s="16" t="s">
        <v>561</v>
      </c>
      <c r="N474" t="s">
        <v>584</v>
      </c>
      <c r="O474" t="s">
        <v>16</v>
      </c>
      <c r="R474" s="3">
        <v>1</v>
      </c>
      <c r="S474" t="s">
        <v>18</v>
      </c>
      <c r="T474" s="2">
        <v>411298.29</v>
      </c>
    </row>
    <row r="475" spans="1:20" hidden="1" x14ac:dyDescent="0.35">
      <c r="A475" s="20">
        <v>45999</v>
      </c>
      <c r="B475">
        <v>8137330346</v>
      </c>
      <c r="C475" t="s">
        <v>435</v>
      </c>
      <c r="H475" s="1">
        <v>101200</v>
      </c>
      <c r="I475" s="1">
        <v>4400</v>
      </c>
      <c r="J475" s="1"/>
      <c r="L475" s="8">
        <v>90</v>
      </c>
      <c r="M475" s="17" t="s">
        <v>562</v>
      </c>
      <c r="N475" t="s">
        <v>585</v>
      </c>
      <c r="O475" t="s">
        <v>16</v>
      </c>
      <c r="R475" s="3">
        <v>1</v>
      </c>
      <c r="S475" t="s">
        <v>18</v>
      </c>
      <c r="T475" s="2">
        <v>519844.76</v>
      </c>
    </row>
    <row r="476" spans="1:20" hidden="1" x14ac:dyDescent="0.35">
      <c r="A476" s="20">
        <v>45999</v>
      </c>
      <c r="B476">
        <v>8137330347</v>
      </c>
      <c r="C476" t="s">
        <v>436</v>
      </c>
      <c r="H476" s="1">
        <v>76172.55</v>
      </c>
      <c r="I476" s="1">
        <v>3311.85</v>
      </c>
      <c r="J476" s="1"/>
      <c r="L476" s="8">
        <v>90</v>
      </c>
      <c r="M476" s="16" t="s">
        <v>563</v>
      </c>
      <c r="N476" t="s">
        <v>584</v>
      </c>
      <c r="O476" t="s">
        <v>16</v>
      </c>
      <c r="R476" s="3">
        <v>1</v>
      </c>
      <c r="S476" t="s">
        <v>18</v>
      </c>
      <c r="T476" s="2">
        <v>411298.29</v>
      </c>
    </row>
    <row r="477" spans="1:20" hidden="1" x14ac:dyDescent="0.35">
      <c r="A477" s="20">
        <v>45999</v>
      </c>
      <c r="B477">
        <v>8137330348</v>
      </c>
      <c r="C477" t="s">
        <v>437</v>
      </c>
      <c r="H477" s="1">
        <v>71743.899999999994</v>
      </c>
      <c r="I477" s="1">
        <v>3119</v>
      </c>
      <c r="J477" s="1"/>
      <c r="L477" s="8">
        <v>90</v>
      </c>
      <c r="M477" s="16" t="s">
        <v>564</v>
      </c>
      <c r="N477" t="s">
        <v>584</v>
      </c>
      <c r="O477" t="s">
        <v>16</v>
      </c>
      <c r="R477" s="3">
        <v>1</v>
      </c>
      <c r="S477" t="s">
        <v>18</v>
      </c>
      <c r="T477" s="2">
        <v>411298.29</v>
      </c>
    </row>
    <row r="478" spans="1:20" hidden="1" x14ac:dyDescent="0.35">
      <c r="A478" s="20">
        <v>45999</v>
      </c>
      <c r="B478">
        <v>8137330349</v>
      </c>
      <c r="C478" t="s">
        <v>438</v>
      </c>
      <c r="H478" s="1">
        <v>40063.699999999997</v>
      </c>
      <c r="I478" s="1">
        <v>1742</v>
      </c>
      <c r="J478" s="1"/>
      <c r="L478" s="8">
        <v>90</v>
      </c>
      <c r="M478" s="16" t="s">
        <v>565</v>
      </c>
      <c r="N478" t="s">
        <v>584</v>
      </c>
      <c r="O478" t="s">
        <v>16</v>
      </c>
      <c r="R478" s="3">
        <v>1</v>
      </c>
      <c r="S478" t="s">
        <v>18</v>
      </c>
      <c r="T478" s="2">
        <v>411298.29</v>
      </c>
    </row>
    <row r="479" spans="1:20" hidden="1" x14ac:dyDescent="0.35">
      <c r="A479" s="20">
        <v>45999</v>
      </c>
      <c r="B479">
        <v>8137330350</v>
      </c>
      <c r="C479" t="s">
        <v>439</v>
      </c>
      <c r="H479" s="1">
        <v>96600</v>
      </c>
      <c r="I479" s="1">
        <v>4200</v>
      </c>
      <c r="J479" s="1"/>
      <c r="L479" s="8">
        <v>90</v>
      </c>
      <c r="M479" s="17" t="s">
        <v>566</v>
      </c>
      <c r="N479" t="s">
        <v>585</v>
      </c>
      <c r="O479" t="s">
        <v>16</v>
      </c>
      <c r="R479" s="3">
        <v>1</v>
      </c>
      <c r="S479" t="s">
        <v>18</v>
      </c>
      <c r="T479" s="2">
        <v>519844.76</v>
      </c>
    </row>
    <row r="480" spans="1:20" hidden="1" x14ac:dyDescent="0.35">
      <c r="A480" s="20">
        <v>45999</v>
      </c>
      <c r="B480">
        <v>8137330351</v>
      </c>
      <c r="C480" t="s">
        <v>440</v>
      </c>
      <c r="H480" s="1">
        <v>158700</v>
      </c>
      <c r="I480" s="1">
        <v>6900</v>
      </c>
      <c r="J480" s="1"/>
      <c r="L480" s="8">
        <v>90</v>
      </c>
      <c r="M480" s="16" t="s">
        <v>567</v>
      </c>
      <c r="N480" t="s">
        <v>585</v>
      </c>
      <c r="O480" t="s">
        <v>16</v>
      </c>
      <c r="R480" s="3">
        <v>1</v>
      </c>
      <c r="S480" t="s">
        <v>18</v>
      </c>
      <c r="T480" s="2">
        <v>519844.76</v>
      </c>
    </row>
    <row r="481" spans="1:20" hidden="1" x14ac:dyDescent="0.35">
      <c r="A481" s="20">
        <v>45999</v>
      </c>
      <c r="B481">
        <v>8137330452</v>
      </c>
      <c r="C481" t="s">
        <v>427</v>
      </c>
      <c r="H481" s="1">
        <v>4125.45</v>
      </c>
      <c r="I481" s="1">
        <v>79</v>
      </c>
      <c r="J481" s="1"/>
      <c r="L481" s="3">
        <v>90</v>
      </c>
      <c r="M481" s="17">
        <v>424349274765</v>
      </c>
      <c r="N481" t="s">
        <v>585</v>
      </c>
      <c r="O481" t="s">
        <v>16</v>
      </c>
      <c r="R481" s="3">
        <v>1</v>
      </c>
      <c r="S481" t="s">
        <v>18</v>
      </c>
      <c r="T481" s="2">
        <v>519844.76</v>
      </c>
    </row>
    <row r="482" spans="1:20" hidden="1" x14ac:dyDescent="0.35">
      <c r="A482" s="20">
        <v>45999</v>
      </c>
      <c r="B482">
        <v>8137330500</v>
      </c>
      <c r="C482" t="s">
        <v>318</v>
      </c>
      <c r="H482" s="1">
        <v>4704</v>
      </c>
      <c r="I482" s="1">
        <v>90</v>
      </c>
      <c r="J482" s="1"/>
      <c r="L482" s="3">
        <v>90</v>
      </c>
      <c r="M482" s="17" t="s">
        <v>476</v>
      </c>
      <c r="N482" t="s">
        <v>584</v>
      </c>
      <c r="O482" t="s">
        <v>16</v>
      </c>
      <c r="R482" s="3">
        <v>1</v>
      </c>
      <c r="S482" t="s">
        <v>18</v>
      </c>
      <c r="T482" s="2">
        <v>411298.29</v>
      </c>
    </row>
    <row r="483" spans="1:20" hidden="1" x14ac:dyDescent="0.35">
      <c r="A483" s="20">
        <v>45999</v>
      </c>
      <c r="B483">
        <v>8137330517</v>
      </c>
      <c r="C483" t="s">
        <v>441</v>
      </c>
      <c r="H483" s="1">
        <v>7268</v>
      </c>
      <c r="I483" s="1">
        <v>126</v>
      </c>
      <c r="J483" s="1"/>
      <c r="L483" s="3">
        <v>90</v>
      </c>
      <c r="M483" s="17">
        <v>859953803141</v>
      </c>
      <c r="N483" t="s">
        <v>584</v>
      </c>
      <c r="O483" t="s">
        <v>16</v>
      </c>
      <c r="R483" s="3">
        <v>1</v>
      </c>
      <c r="S483" t="s">
        <v>18</v>
      </c>
      <c r="T483" s="2">
        <v>411298.29</v>
      </c>
    </row>
    <row r="484" spans="1:20" hidden="1" x14ac:dyDescent="0.35">
      <c r="A484" s="20">
        <v>45999</v>
      </c>
      <c r="B484">
        <v>8137330596</v>
      </c>
      <c r="C484" t="s">
        <v>325</v>
      </c>
      <c r="H484" s="1">
        <v>3557.15</v>
      </c>
      <c r="I484" s="1">
        <v>67.760000000000005</v>
      </c>
      <c r="J484" s="1"/>
      <c r="L484" s="3">
        <v>90</v>
      </c>
      <c r="M484" s="16" t="s">
        <v>481</v>
      </c>
      <c r="N484" t="s">
        <v>585</v>
      </c>
      <c r="O484" t="s">
        <v>16</v>
      </c>
      <c r="R484" s="3">
        <v>1</v>
      </c>
      <c r="S484" t="s">
        <v>18</v>
      </c>
      <c r="T484" s="2">
        <v>519844.76</v>
      </c>
    </row>
    <row r="485" spans="1:20" hidden="1" x14ac:dyDescent="0.35">
      <c r="A485" s="20">
        <v>45999</v>
      </c>
      <c r="B485">
        <v>8137330603</v>
      </c>
      <c r="C485" t="s">
        <v>314</v>
      </c>
      <c r="H485" s="1">
        <v>7507.2</v>
      </c>
      <c r="I485" s="1">
        <v>326</v>
      </c>
      <c r="J485" s="1"/>
      <c r="L485" s="8">
        <v>90</v>
      </c>
      <c r="M485" s="16" t="s">
        <v>472</v>
      </c>
      <c r="N485" t="s">
        <v>584</v>
      </c>
      <c r="O485" t="s">
        <v>16</v>
      </c>
      <c r="R485" s="3">
        <v>1</v>
      </c>
      <c r="S485" t="s">
        <v>18</v>
      </c>
      <c r="T485" s="2">
        <v>411298.29</v>
      </c>
    </row>
    <row r="486" spans="1:20" hidden="1" x14ac:dyDescent="0.35">
      <c r="A486" s="20">
        <v>45999</v>
      </c>
      <c r="B486">
        <v>8137330605</v>
      </c>
      <c r="C486" t="s">
        <v>31</v>
      </c>
      <c r="H486" s="1">
        <v>7507.2</v>
      </c>
      <c r="I486" s="1">
        <v>326</v>
      </c>
      <c r="J486" s="1"/>
      <c r="L486" s="8">
        <v>90</v>
      </c>
      <c r="M486" s="16" t="s">
        <v>188</v>
      </c>
      <c r="N486" t="s">
        <v>584</v>
      </c>
      <c r="O486" t="s">
        <v>16</v>
      </c>
      <c r="R486" s="3">
        <v>1</v>
      </c>
      <c r="S486" t="s">
        <v>18</v>
      </c>
      <c r="T486" s="2">
        <v>411298.29</v>
      </c>
    </row>
    <row r="487" spans="1:20" hidden="1" x14ac:dyDescent="0.35">
      <c r="A487" s="20">
        <v>45999</v>
      </c>
      <c r="B487">
        <v>8137330606</v>
      </c>
      <c r="C487" t="s">
        <v>32</v>
      </c>
      <c r="H487" s="1">
        <v>3631.7</v>
      </c>
      <c r="I487" s="1">
        <v>158</v>
      </c>
      <c r="J487" s="1"/>
      <c r="L487" s="8">
        <v>90</v>
      </c>
      <c r="M487" s="16" t="s">
        <v>258</v>
      </c>
      <c r="N487" t="s">
        <v>584</v>
      </c>
      <c r="O487" t="s">
        <v>16</v>
      </c>
      <c r="R487" s="3">
        <v>1</v>
      </c>
      <c r="S487" t="s">
        <v>18</v>
      </c>
      <c r="T487" s="2">
        <v>411298.29</v>
      </c>
    </row>
    <row r="488" spans="1:20" hidden="1" x14ac:dyDescent="0.35">
      <c r="A488" s="20">
        <v>45999</v>
      </c>
      <c r="B488">
        <v>8137330607</v>
      </c>
      <c r="C488" t="s">
        <v>313</v>
      </c>
      <c r="H488" s="1">
        <v>15978.1</v>
      </c>
      <c r="I488" s="1">
        <v>694</v>
      </c>
      <c r="J488" s="1"/>
      <c r="L488" s="8">
        <v>90</v>
      </c>
      <c r="M488" s="16" t="s">
        <v>295</v>
      </c>
      <c r="N488" t="s">
        <v>585</v>
      </c>
      <c r="O488" t="s">
        <v>16</v>
      </c>
      <c r="R488" s="3">
        <v>1</v>
      </c>
      <c r="S488" t="s">
        <v>18</v>
      </c>
      <c r="T488" s="2">
        <v>519844.76</v>
      </c>
    </row>
    <row r="489" spans="1:20" hidden="1" x14ac:dyDescent="0.35">
      <c r="A489" s="20">
        <v>45999</v>
      </c>
      <c r="B489">
        <v>8137330608</v>
      </c>
      <c r="C489" t="s">
        <v>412</v>
      </c>
      <c r="H489" s="1">
        <v>1876.8</v>
      </c>
      <c r="I489" s="1">
        <v>82</v>
      </c>
      <c r="J489" s="1"/>
      <c r="L489" s="8">
        <v>90</v>
      </c>
      <c r="M489" s="16" t="s">
        <v>546</v>
      </c>
      <c r="N489" t="s">
        <v>585</v>
      </c>
      <c r="O489" t="s">
        <v>16</v>
      </c>
      <c r="R489" s="3">
        <v>1</v>
      </c>
      <c r="S489" t="s">
        <v>18</v>
      </c>
      <c r="T489" s="2">
        <v>519844.76</v>
      </c>
    </row>
    <row r="490" spans="1:20" hidden="1" x14ac:dyDescent="0.35">
      <c r="A490" s="20">
        <v>46000</v>
      </c>
      <c r="B490">
        <v>8137330645</v>
      </c>
      <c r="C490" t="s">
        <v>442</v>
      </c>
      <c r="H490" s="1">
        <v>78301.5</v>
      </c>
      <c r="I490" s="1">
        <v>1491.46</v>
      </c>
      <c r="J490" s="1"/>
      <c r="L490" s="3">
        <v>90</v>
      </c>
      <c r="M490" s="16" t="s">
        <v>568</v>
      </c>
      <c r="N490" t="s">
        <v>585</v>
      </c>
      <c r="O490" t="s">
        <v>16</v>
      </c>
      <c r="R490" s="3">
        <v>1</v>
      </c>
      <c r="S490" t="s">
        <v>18</v>
      </c>
      <c r="T490" s="2">
        <v>519844.76</v>
      </c>
    </row>
    <row r="491" spans="1:20" hidden="1" x14ac:dyDescent="0.35">
      <c r="A491" s="20">
        <v>46000</v>
      </c>
      <c r="B491">
        <v>8137330661</v>
      </c>
      <c r="C491" t="s">
        <v>329</v>
      </c>
      <c r="H491" s="1">
        <v>35775.1</v>
      </c>
      <c r="I491" s="1">
        <v>994</v>
      </c>
      <c r="J491" s="1"/>
      <c r="L491" s="3">
        <v>90</v>
      </c>
      <c r="M491" s="16" t="s">
        <v>484</v>
      </c>
      <c r="N491" t="s">
        <v>584</v>
      </c>
      <c r="O491" t="s">
        <v>16</v>
      </c>
      <c r="R491" s="3">
        <v>1</v>
      </c>
      <c r="S491" t="s">
        <v>18</v>
      </c>
      <c r="T491" s="2">
        <v>411298.29</v>
      </c>
    </row>
    <row r="492" spans="1:20" hidden="1" x14ac:dyDescent="0.35">
      <c r="A492" s="20">
        <v>46000</v>
      </c>
      <c r="B492">
        <v>8137331087</v>
      </c>
      <c r="C492" t="s">
        <v>325</v>
      </c>
      <c r="H492" s="1">
        <v>5807.15</v>
      </c>
      <c r="I492" s="1">
        <v>110.61</v>
      </c>
      <c r="J492" s="1"/>
      <c r="L492" s="3">
        <v>90</v>
      </c>
      <c r="M492" s="16" t="s">
        <v>481</v>
      </c>
      <c r="N492" t="s">
        <v>585</v>
      </c>
      <c r="O492" t="s">
        <v>16</v>
      </c>
      <c r="R492" s="3">
        <v>1</v>
      </c>
      <c r="S492" t="s">
        <v>18</v>
      </c>
      <c r="T492" s="2">
        <v>519844.76</v>
      </c>
    </row>
    <row r="493" spans="1:20" hidden="1" x14ac:dyDescent="0.35">
      <c r="A493" s="20">
        <v>46000</v>
      </c>
      <c r="B493">
        <v>8137331088</v>
      </c>
      <c r="C493" t="s">
        <v>443</v>
      </c>
      <c r="H493" s="1">
        <v>34984.21</v>
      </c>
      <c r="I493" s="1">
        <v>1521.05</v>
      </c>
      <c r="J493" s="1"/>
      <c r="L493" s="8">
        <v>90</v>
      </c>
      <c r="M493" s="16" t="s">
        <v>569</v>
      </c>
      <c r="N493" t="s">
        <v>585</v>
      </c>
      <c r="O493" t="s">
        <v>16</v>
      </c>
      <c r="R493" s="3">
        <v>1</v>
      </c>
      <c r="S493" t="s">
        <v>18</v>
      </c>
      <c r="T493" s="2">
        <v>519844.76</v>
      </c>
    </row>
    <row r="494" spans="1:20" hidden="1" x14ac:dyDescent="0.35">
      <c r="A494" s="20">
        <v>46001</v>
      </c>
      <c r="B494">
        <v>8137331128</v>
      </c>
      <c r="C494" t="s">
        <v>334</v>
      </c>
      <c r="H494" s="1">
        <v>36919.25</v>
      </c>
      <c r="I494" s="1">
        <v>1205</v>
      </c>
      <c r="J494" s="1"/>
      <c r="L494" s="8">
        <v>90</v>
      </c>
      <c r="M494" s="16" t="s">
        <v>489</v>
      </c>
      <c r="N494" t="s">
        <v>584</v>
      </c>
      <c r="O494" t="s">
        <v>16</v>
      </c>
      <c r="R494" s="3">
        <v>1</v>
      </c>
      <c r="S494" t="s">
        <v>18</v>
      </c>
      <c r="T494" s="2">
        <v>411298.29</v>
      </c>
    </row>
    <row r="495" spans="1:20" hidden="1" x14ac:dyDescent="0.35">
      <c r="A495" s="20">
        <v>46001</v>
      </c>
      <c r="B495">
        <v>8137331181</v>
      </c>
      <c r="C495" t="s">
        <v>407</v>
      </c>
      <c r="H495" s="1">
        <v>119598.85</v>
      </c>
      <c r="I495" s="1">
        <v>5199</v>
      </c>
      <c r="J495" s="1"/>
      <c r="L495" s="8">
        <v>90</v>
      </c>
      <c r="M495" s="16" t="s">
        <v>542</v>
      </c>
      <c r="N495" t="s">
        <v>584</v>
      </c>
      <c r="O495" t="s">
        <v>16</v>
      </c>
      <c r="R495" s="3">
        <v>1</v>
      </c>
      <c r="S495" t="s">
        <v>18</v>
      </c>
      <c r="T495" s="2">
        <v>411298.29</v>
      </c>
    </row>
    <row r="496" spans="1:20" hidden="1" x14ac:dyDescent="0.35">
      <c r="A496" s="20">
        <v>46001</v>
      </c>
      <c r="B496">
        <v>8137331287</v>
      </c>
      <c r="C496" t="s">
        <v>444</v>
      </c>
      <c r="H496" s="1">
        <v>122855.95999999999</v>
      </c>
      <c r="I496" s="1">
        <v>394.74</v>
      </c>
      <c r="J496" s="1"/>
      <c r="L496" s="3">
        <v>90</v>
      </c>
      <c r="M496" s="16" t="s">
        <v>570</v>
      </c>
      <c r="N496" t="s">
        <v>585</v>
      </c>
      <c r="O496" t="s">
        <v>16</v>
      </c>
      <c r="R496" s="3">
        <v>1</v>
      </c>
      <c r="S496" t="s">
        <v>18</v>
      </c>
      <c r="T496" s="2">
        <v>519844.76</v>
      </c>
    </row>
    <row r="497" spans="1:20" hidden="1" x14ac:dyDescent="0.35">
      <c r="A497" s="20">
        <v>46001</v>
      </c>
      <c r="B497">
        <v>8137331307</v>
      </c>
      <c r="C497" t="s">
        <v>20</v>
      </c>
      <c r="H497" s="1">
        <v>21850</v>
      </c>
      <c r="I497" s="1">
        <v>950</v>
      </c>
      <c r="J497" s="1"/>
      <c r="L497" s="8">
        <v>90</v>
      </c>
      <c r="M497" s="17">
        <v>755939437902</v>
      </c>
      <c r="N497" t="s">
        <v>585</v>
      </c>
      <c r="O497" t="s">
        <v>16</v>
      </c>
      <c r="R497" s="3">
        <v>1</v>
      </c>
      <c r="S497" t="s">
        <v>18</v>
      </c>
      <c r="T497" s="2">
        <v>519844.76</v>
      </c>
    </row>
    <row r="498" spans="1:20" hidden="1" x14ac:dyDescent="0.35">
      <c r="A498" s="20">
        <v>46001</v>
      </c>
      <c r="B498">
        <v>8137331316</v>
      </c>
      <c r="C498" t="s">
        <v>21</v>
      </c>
      <c r="H498" s="1">
        <v>137878.1</v>
      </c>
      <c r="I498" s="1">
        <v>5995</v>
      </c>
      <c r="J498" s="1"/>
      <c r="L498" s="8">
        <v>90</v>
      </c>
      <c r="M498" s="17">
        <v>726670308302</v>
      </c>
      <c r="N498" t="s">
        <v>584</v>
      </c>
      <c r="O498" t="s">
        <v>16</v>
      </c>
      <c r="R498" s="3">
        <v>1</v>
      </c>
      <c r="S498" t="s">
        <v>18</v>
      </c>
      <c r="T498" s="2">
        <v>411298.29</v>
      </c>
    </row>
    <row r="499" spans="1:20" hidden="1" x14ac:dyDescent="0.35">
      <c r="A499" s="20">
        <v>46001</v>
      </c>
      <c r="B499">
        <v>8137331322</v>
      </c>
      <c r="C499" t="s">
        <v>445</v>
      </c>
      <c r="H499" s="1">
        <v>76810.8</v>
      </c>
      <c r="I499" s="1">
        <v>3340</v>
      </c>
      <c r="J499" s="1"/>
      <c r="L499" s="8">
        <v>90</v>
      </c>
      <c r="M499" s="17">
        <v>845465767276</v>
      </c>
      <c r="N499" t="s">
        <v>585</v>
      </c>
      <c r="O499" t="s">
        <v>16</v>
      </c>
      <c r="R499" s="3">
        <v>1</v>
      </c>
      <c r="S499" t="s">
        <v>18</v>
      </c>
      <c r="T499" s="2">
        <v>519844.76</v>
      </c>
    </row>
    <row r="500" spans="1:20" hidden="1" x14ac:dyDescent="0.35">
      <c r="A500" s="20">
        <v>46001</v>
      </c>
      <c r="B500">
        <v>8137331326</v>
      </c>
      <c r="C500" t="s">
        <v>418</v>
      </c>
      <c r="H500" s="1">
        <v>110455.2</v>
      </c>
      <c r="I500" s="1">
        <v>4802</v>
      </c>
      <c r="J500" s="1"/>
      <c r="L500" s="3">
        <v>90</v>
      </c>
      <c r="M500" s="17">
        <v>137017363529</v>
      </c>
      <c r="N500" t="s">
        <v>584</v>
      </c>
      <c r="O500" t="s">
        <v>16</v>
      </c>
      <c r="R500" s="3">
        <v>1</v>
      </c>
      <c r="S500" t="s">
        <v>18</v>
      </c>
      <c r="T500" s="2">
        <v>411298.29</v>
      </c>
    </row>
    <row r="501" spans="1:20" hidden="1" x14ac:dyDescent="0.35">
      <c r="A501" s="20">
        <v>46001</v>
      </c>
      <c r="B501">
        <v>8137331397</v>
      </c>
      <c r="C501" t="s">
        <v>446</v>
      </c>
      <c r="H501" s="1">
        <v>21790.2</v>
      </c>
      <c r="I501" s="1">
        <v>947.37</v>
      </c>
      <c r="J501" s="1"/>
      <c r="L501" s="8">
        <v>90</v>
      </c>
      <c r="M501" s="17">
        <v>746165187801</v>
      </c>
      <c r="N501" t="s">
        <v>585</v>
      </c>
      <c r="O501" t="s">
        <v>16</v>
      </c>
      <c r="R501" s="3">
        <v>1</v>
      </c>
      <c r="S501" t="s">
        <v>18</v>
      </c>
      <c r="T501" s="2">
        <v>519844.76</v>
      </c>
    </row>
    <row r="502" spans="1:20" hidden="1" x14ac:dyDescent="0.35">
      <c r="A502" s="20">
        <v>46001</v>
      </c>
      <c r="B502">
        <v>8137331400</v>
      </c>
      <c r="C502" t="s">
        <v>426</v>
      </c>
      <c r="H502" s="1">
        <v>8013.6</v>
      </c>
      <c r="I502" s="1">
        <v>152</v>
      </c>
      <c r="J502" s="1"/>
      <c r="L502" s="3">
        <v>90</v>
      </c>
      <c r="M502" s="17">
        <v>128235379332</v>
      </c>
      <c r="N502" t="s">
        <v>585</v>
      </c>
      <c r="O502" t="s">
        <v>16</v>
      </c>
      <c r="R502" s="3">
        <v>1</v>
      </c>
      <c r="S502" t="s">
        <v>18</v>
      </c>
      <c r="T502" s="2">
        <v>519844.76</v>
      </c>
    </row>
    <row r="503" spans="1:20" hidden="1" x14ac:dyDescent="0.35">
      <c r="A503" s="20">
        <v>46001</v>
      </c>
      <c r="B503">
        <v>8137331476</v>
      </c>
      <c r="C503" t="s">
        <v>440</v>
      </c>
      <c r="H503" s="1">
        <v>32563.4</v>
      </c>
      <c r="I503" s="1">
        <v>1416</v>
      </c>
      <c r="J503" s="1"/>
      <c r="L503" s="8">
        <v>90</v>
      </c>
      <c r="M503" s="16" t="s">
        <v>567</v>
      </c>
      <c r="N503" t="s">
        <v>585</v>
      </c>
      <c r="O503" t="s">
        <v>16</v>
      </c>
      <c r="R503" s="3">
        <v>1</v>
      </c>
      <c r="S503" t="s">
        <v>18</v>
      </c>
      <c r="T503" s="2">
        <v>519844.76</v>
      </c>
    </row>
    <row r="504" spans="1:20" hidden="1" x14ac:dyDescent="0.35">
      <c r="A504" s="20">
        <v>46001</v>
      </c>
      <c r="B504">
        <v>8137331508</v>
      </c>
      <c r="C504" t="s">
        <v>321</v>
      </c>
      <c r="H504" s="1">
        <v>1815.85</v>
      </c>
      <c r="I504" s="1">
        <v>79</v>
      </c>
      <c r="J504" s="1"/>
      <c r="L504" s="8">
        <v>90</v>
      </c>
      <c r="M504" s="16" t="s">
        <v>477</v>
      </c>
      <c r="N504" t="s">
        <v>584</v>
      </c>
      <c r="O504" t="s">
        <v>16</v>
      </c>
      <c r="R504" s="3">
        <v>1</v>
      </c>
      <c r="S504" t="s">
        <v>18</v>
      </c>
      <c r="T504" s="2">
        <v>411298.29</v>
      </c>
    </row>
    <row r="505" spans="1:20" hidden="1" x14ac:dyDescent="0.35">
      <c r="A505" s="20">
        <v>46001</v>
      </c>
      <c r="B505">
        <v>8137331573</v>
      </c>
      <c r="C505" t="s">
        <v>174</v>
      </c>
      <c r="H505" s="1">
        <v>41902.5</v>
      </c>
      <c r="I505" s="1">
        <v>1468</v>
      </c>
      <c r="J505" s="1"/>
      <c r="L505" s="3">
        <v>90</v>
      </c>
      <c r="M505" s="16" t="s">
        <v>253</v>
      </c>
      <c r="N505" t="s">
        <v>584</v>
      </c>
      <c r="O505" t="s">
        <v>16</v>
      </c>
      <c r="R505" s="3">
        <v>1</v>
      </c>
      <c r="S505" t="s">
        <v>18</v>
      </c>
      <c r="T505" s="2">
        <v>411298.29</v>
      </c>
    </row>
    <row r="506" spans="1:20" hidden="1" x14ac:dyDescent="0.35">
      <c r="A506" s="20">
        <v>46001</v>
      </c>
      <c r="B506">
        <v>8137331581</v>
      </c>
      <c r="C506" t="s">
        <v>316</v>
      </c>
      <c r="H506" s="1">
        <v>5166</v>
      </c>
      <c r="I506" s="1">
        <v>98</v>
      </c>
      <c r="J506" s="1"/>
      <c r="L506" s="3">
        <v>90</v>
      </c>
      <c r="M506" s="16" t="s">
        <v>474</v>
      </c>
      <c r="N506" t="s">
        <v>584</v>
      </c>
      <c r="O506" t="s">
        <v>16</v>
      </c>
      <c r="R506" s="3">
        <v>1</v>
      </c>
      <c r="S506" t="s">
        <v>18</v>
      </c>
      <c r="T506" s="2">
        <v>411298.29</v>
      </c>
    </row>
    <row r="507" spans="1:20" hidden="1" x14ac:dyDescent="0.35">
      <c r="A507" s="20">
        <v>46001</v>
      </c>
      <c r="B507">
        <v>8137331584</v>
      </c>
      <c r="C507" t="s">
        <v>318</v>
      </c>
      <c r="H507" s="1">
        <v>504</v>
      </c>
      <c r="I507" s="1">
        <v>10</v>
      </c>
      <c r="J507" s="1"/>
      <c r="L507" s="3">
        <v>90</v>
      </c>
      <c r="M507" s="16" t="s">
        <v>476</v>
      </c>
      <c r="N507" t="s">
        <v>584</v>
      </c>
      <c r="O507" t="s">
        <v>16</v>
      </c>
      <c r="R507" s="3">
        <v>1</v>
      </c>
      <c r="S507" t="s">
        <v>18</v>
      </c>
      <c r="T507" s="2">
        <v>411298.29</v>
      </c>
    </row>
    <row r="508" spans="1:20" hidden="1" x14ac:dyDescent="0.35">
      <c r="A508" s="20">
        <v>46001</v>
      </c>
      <c r="B508">
        <v>8137331603</v>
      </c>
      <c r="C508" t="s">
        <v>447</v>
      </c>
      <c r="H508" s="1">
        <v>17136</v>
      </c>
      <c r="I508" s="1">
        <v>510</v>
      </c>
      <c r="J508" s="1"/>
      <c r="L508" s="3">
        <v>90</v>
      </c>
      <c r="M508" s="17">
        <v>150789723096</v>
      </c>
      <c r="N508" t="s">
        <v>584</v>
      </c>
      <c r="O508" t="s">
        <v>16</v>
      </c>
      <c r="R508" s="3">
        <v>1</v>
      </c>
      <c r="S508" t="s">
        <v>18</v>
      </c>
      <c r="T508" s="2">
        <v>411298.29</v>
      </c>
    </row>
    <row r="509" spans="1:20" hidden="1" x14ac:dyDescent="0.35">
      <c r="A509" s="20">
        <v>46001</v>
      </c>
      <c r="B509">
        <v>8137331811</v>
      </c>
      <c r="C509" t="s">
        <v>325</v>
      </c>
      <c r="H509" s="1">
        <v>2035.72</v>
      </c>
      <c r="I509" s="1">
        <v>38.78</v>
      </c>
      <c r="J509" s="1"/>
      <c r="L509" s="3">
        <v>90</v>
      </c>
      <c r="M509" s="16" t="s">
        <v>481</v>
      </c>
      <c r="N509" t="s">
        <v>585</v>
      </c>
      <c r="O509" t="s">
        <v>16</v>
      </c>
      <c r="R509" s="3">
        <v>1</v>
      </c>
      <c r="S509" t="s">
        <v>18</v>
      </c>
      <c r="T509" s="2">
        <v>519844.76</v>
      </c>
    </row>
    <row r="510" spans="1:20" hidden="1" x14ac:dyDescent="0.35">
      <c r="A510" s="20">
        <v>46001</v>
      </c>
      <c r="B510">
        <v>8137331837</v>
      </c>
      <c r="C510" t="s">
        <v>313</v>
      </c>
      <c r="H510" s="1">
        <v>21973.05</v>
      </c>
      <c r="I510" s="1">
        <v>955</v>
      </c>
      <c r="J510" s="1"/>
      <c r="L510" s="8">
        <v>90</v>
      </c>
      <c r="M510" s="16" t="s">
        <v>295</v>
      </c>
      <c r="N510" t="s">
        <v>585</v>
      </c>
      <c r="O510" t="s">
        <v>16</v>
      </c>
      <c r="R510" s="3">
        <v>1</v>
      </c>
      <c r="S510" t="s">
        <v>18</v>
      </c>
      <c r="T510" s="2">
        <v>519844.76</v>
      </c>
    </row>
    <row r="511" spans="1:20" hidden="1" x14ac:dyDescent="0.35">
      <c r="A511" s="20">
        <v>46001</v>
      </c>
      <c r="B511">
        <v>8137331839</v>
      </c>
      <c r="C511" t="s">
        <v>412</v>
      </c>
      <c r="H511" s="1">
        <v>3753.6</v>
      </c>
      <c r="I511" s="1">
        <v>163</v>
      </c>
      <c r="J511" s="1"/>
      <c r="L511" s="8">
        <v>90</v>
      </c>
      <c r="M511" s="16" t="s">
        <v>546</v>
      </c>
      <c r="N511" t="s">
        <v>585</v>
      </c>
      <c r="O511" t="s">
        <v>16</v>
      </c>
      <c r="R511" s="3">
        <v>1</v>
      </c>
      <c r="S511" t="s">
        <v>18</v>
      </c>
      <c r="T511" s="2">
        <v>519844.76</v>
      </c>
    </row>
    <row r="512" spans="1:20" hidden="1" x14ac:dyDescent="0.35">
      <c r="A512" s="20">
        <v>46001</v>
      </c>
      <c r="B512">
        <v>8137331844</v>
      </c>
      <c r="C512" t="s">
        <v>314</v>
      </c>
      <c r="H512" s="1">
        <v>3753.6</v>
      </c>
      <c r="I512" s="1">
        <v>163</v>
      </c>
      <c r="J512" s="1"/>
      <c r="L512" s="8">
        <v>90</v>
      </c>
      <c r="M512" s="16" t="s">
        <v>472</v>
      </c>
      <c r="N512" t="s">
        <v>584</v>
      </c>
      <c r="O512" t="s">
        <v>16</v>
      </c>
      <c r="R512" s="3">
        <v>1</v>
      </c>
      <c r="S512" t="s">
        <v>18</v>
      </c>
      <c r="T512" s="2">
        <v>411298.29</v>
      </c>
    </row>
    <row r="513" spans="1:20" hidden="1" x14ac:dyDescent="0.35">
      <c r="A513" s="20">
        <v>46002</v>
      </c>
      <c r="B513">
        <v>8137332224</v>
      </c>
      <c r="C513" t="s">
        <v>325</v>
      </c>
      <c r="H513" s="1">
        <v>2871.4300000000003</v>
      </c>
      <c r="I513" s="1">
        <v>54.69</v>
      </c>
      <c r="J513" s="1"/>
      <c r="L513" s="3">
        <v>90</v>
      </c>
      <c r="M513" s="16" t="s">
        <v>481</v>
      </c>
      <c r="N513" t="s">
        <v>585</v>
      </c>
      <c r="O513" t="s">
        <v>16</v>
      </c>
      <c r="R513" s="3">
        <v>1</v>
      </c>
      <c r="S513" t="s">
        <v>18</v>
      </c>
      <c r="T513" s="2">
        <v>519844.76</v>
      </c>
    </row>
    <row r="514" spans="1:20" hidden="1" x14ac:dyDescent="0.35">
      <c r="A514" s="20">
        <v>46002</v>
      </c>
      <c r="B514">
        <v>8137332228</v>
      </c>
      <c r="C514" t="s">
        <v>334</v>
      </c>
      <c r="H514" s="1">
        <v>114916.6</v>
      </c>
      <c r="I514" s="1">
        <v>3554</v>
      </c>
      <c r="J514" s="1"/>
      <c r="L514" s="8">
        <v>90</v>
      </c>
      <c r="M514" s="16" t="s">
        <v>489</v>
      </c>
      <c r="N514" t="s">
        <v>584</v>
      </c>
      <c r="O514" t="s">
        <v>16</v>
      </c>
      <c r="R514" s="3">
        <v>1</v>
      </c>
      <c r="S514" t="s">
        <v>18</v>
      </c>
      <c r="T514" s="2">
        <v>411298.29</v>
      </c>
    </row>
    <row r="515" spans="1:20" hidden="1" x14ac:dyDescent="0.35">
      <c r="A515" s="20">
        <v>46005</v>
      </c>
      <c r="B515">
        <v>8137332474</v>
      </c>
      <c r="C515" t="s">
        <v>316</v>
      </c>
      <c r="H515" s="1">
        <v>2394</v>
      </c>
      <c r="I515" s="1">
        <v>46</v>
      </c>
      <c r="J515" s="1"/>
      <c r="L515" s="3">
        <v>90</v>
      </c>
      <c r="M515" s="16" t="s">
        <v>474</v>
      </c>
      <c r="N515" t="s">
        <v>584</v>
      </c>
      <c r="O515" t="s">
        <v>16</v>
      </c>
      <c r="R515" s="3">
        <v>1</v>
      </c>
      <c r="S515" t="s">
        <v>18</v>
      </c>
      <c r="T515" s="2">
        <v>411298.29</v>
      </c>
    </row>
    <row r="516" spans="1:20" hidden="1" x14ac:dyDescent="0.35">
      <c r="A516" s="20">
        <v>46005</v>
      </c>
      <c r="B516">
        <v>8137332613</v>
      </c>
      <c r="C516" t="s">
        <v>314</v>
      </c>
      <c r="H516" s="1">
        <v>3752.45</v>
      </c>
      <c r="I516" s="1">
        <v>163</v>
      </c>
      <c r="J516" s="1"/>
      <c r="L516" s="8">
        <v>90</v>
      </c>
      <c r="M516" s="16" t="s">
        <v>472</v>
      </c>
      <c r="N516" t="s">
        <v>584</v>
      </c>
      <c r="O516" t="s">
        <v>16</v>
      </c>
      <c r="R516" s="3">
        <v>1</v>
      </c>
      <c r="S516" t="s">
        <v>18</v>
      </c>
      <c r="T516" s="2">
        <v>411298.29</v>
      </c>
    </row>
    <row r="517" spans="1:20" hidden="1" x14ac:dyDescent="0.35">
      <c r="A517" s="20">
        <v>46005</v>
      </c>
      <c r="B517">
        <v>8137332615</v>
      </c>
      <c r="C517" t="s">
        <v>31</v>
      </c>
      <c r="H517" s="1">
        <v>1876.8</v>
      </c>
      <c r="I517" s="1">
        <v>82</v>
      </c>
      <c r="J517" s="1"/>
      <c r="L517" s="8">
        <v>90</v>
      </c>
      <c r="M517" s="16" t="s">
        <v>188</v>
      </c>
      <c r="N517" t="s">
        <v>584</v>
      </c>
      <c r="O517" t="s">
        <v>16</v>
      </c>
      <c r="R517" s="3">
        <v>1</v>
      </c>
      <c r="S517" t="s">
        <v>18</v>
      </c>
      <c r="T517" s="2">
        <v>411298.29</v>
      </c>
    </row>
    <row r="518" spans="1:20" hidden="1" x14ac:dyDescent="0.35">
      <c r="A518" s="20">
        <v>46005</v>
      </c>
      <c r="B518">
        <v>8137332616</v>
      </c>
      <c r="C518" t="s">
        <v>32</v>
      </c>
      <c r="H518" s="1">
        <v>3631.7</v>
      </c>
      <c r="I518" s="1">
        <v>158</v>
      </c>
      <c r="J518" s="1"/>
      <c r="L518" s="8">
        <v>90</v>
      </c>
      <c r="M518" s="16" t="s">
        <v>258</v>
      </c>
      <c r="N518" t="s">
        <v>584</v>
      </c>
      <c r="O518" t="s">
        <v>16</v>
      </c>
      <c r="R518" s="3">
        <v>1</v>
      </c>
      <c r="S518" t="s">
        <v>18</v>
      </c>
      <c r="T518" s="2">
        <v>411298.29</v>
      </c>
    </row>
    <row r="519" spans="1:20" hidden="1" x14ac:dyDescent="0.35">
      <c r="A519" s="20">
        <v>46005</v>
      </c>
      <c r="B519">
        <v>8137332617</v>
      </c>
      <c r="C519" t="s">
        <v>313</v>
      </c>
      <c r="H519" s="1">
        <v>13859.8</v>
      </c>
      <c r="I519" s="1">
        <v>602</v>
      </c>
      <c r="J519" s="1"/>
      <c r="L519" s="8">
        <v>90</v>
      </c>
      <c r="M519" s="16" t="s">
        <v>295</v>
      </c>
      <c r="N519" t="s">
        <v>585</v>
      </c>
      <c r="O519" t="s">
        <v>16</v>
      </c>
      <c r="R519" s="3">
        <v>1</v>
      </c>
      <c r="S519" t="s">
        <v>18</v>
      </c>
      <c r="T519" s="2">
        <v>519844.76</v>
      </c>
    </row>
    <row r="520" spans="1:20" hidden="1" x14ac:dyDescent="0.35">
      <c r="A520" s="20">
        <v>46005</v>
      </c>
      <c r="B520">
        <v>8137332618</v>
      </c>
      <c r="C520" t="s">
        <v>412</v>
      </c>
      <c r="H520" s="1">
        <v>3752.45</v>
      </c>
      <c r="I520" s="1">
        <v>163</v>
      </c>
      <c r="J520" s="1"/>
      <c r="L520" s="8">
        <v>90</v>
      </c>
      <c r="M520" s="16" t="s">
        <v>546</v>
      </c>
      <c r="N520" t="s">
        <v>585</v>
      </c>
      <c r="O520" t="s">
        <v>16</v>
      </c>
      <c r="R520" s="3">
        <v>1</v>
      </c>
      <c r="S520" t="s">
        <v>18</v>
      </c>
      <c r="T520" s="2">
        <v>519844.76</v>
      </c>
    </row>
    <row r="521" spans="1:20" hidden="1" x14ac:dyDescent="0.35">
      <c r="A521" s="20">
        <v>46005</v>
      </c>
      <c r="B521">
        <v>8137332982</v>
      </c>
      <c r="C521" t="s">
        <v>334</v>
      </c>
      <c r="H521" s="1">
        <v>56747.549999999996</v>
      </c>
      <c r="I521" s="1">
        <v>1787</v>
      </c>
      <c r="J521" s="1"/>
      <c r="L521" s="8">
        <v>90</v>
      </c>
      <c r="M521" s="16" t="s">
        <v>489</v>
      </c>
      <c r="N521" t="s">
        <v>584</v>
      </c>
      <c r="O521" t="s">
        <v>16</v>
      </c>
      <c r="R521" s="3">
        <v>1</v>
      </c>
      <c r="S521" t="s">
        <v>18</v>
      </c>
      <c r="T521" s="2">
        <v>411298.29</v>
      </c>
    </row>
    <row r="522" spans="1:20" hidden="1" x14ac:dyDescent="0.35">
      <c r="A522" s="20">
        <v>46005</v>
      </c>
      <c r="B522">
        <v>8137333175</v>
      </c>
      <c r="C522" t="s">
        <v>86</v>
      </c>
      <c r="H522" s="1">
        <v>47696.25</v>
      </c>
      <c r="I522" s="1">
        <v>2073.75</v>
      </c>
      <c r="J522" s="1"/>
      <c r="L522" s="8">
        <v>90</v>
      </c>
      <c r="M522" s="16" t="s">
        <v>215</v>
      </c>
      <c r="N522" t="s">
        <v>585</v>
      </c>
      <c r="O522" t="s">
        <v>16</v>
      </c>
      <c r="R522" s="3">
        <v>1</v>
      </c>
      <c r="S522" t="s">
        <v>18</v>
      </c>
      <c r="T522" s="2">
        <v>519844.76</v>
      </c>
    </row>
    <row r="523" spans="1:20" hidden="1" x14ac:dyDescent="0.35">
      <c r="A523" s="20">
        <v>46005</v>
      </c>
      <c r="B523">
        <v>8137333300</v>
      </c>
      <c r="C523" t="s">
        <v>425</v>
      </c>
      <c r="H523" s="1">
        <v>77016.58</v>
      </c>
      <c r="I523" s="1">
        <v>157.88999999999999</v>
      </c>
      <c r="J523" s="1"/>
      <c r="L523" s="8">
        <v>90</v>
      </c>
      <c r="M523" s="16" t="s">
        <v>555</v>
      </c>
      <c r="N523" t="s">
        <v>585</v>
      </c>
      <c r="O523" t="s">
        <v>16</v>
      </c>
      <c r="R523" s="3">
        <v>1</v>
      </c>
      <c r="S523" t="s">
        <v>18</v>
      </c>
      <c r="T523" s="2">
        <v>519844.76</v>
      </c>
    </row>
    <row r="524" spans="1:20" hidden="1" x14ac:dyDescent="0.35">
      <c r="A524" s="20">
        <v>46005</v>
      </c>
      <c r="B524">
        <v>8137333301</v>
      </c>
      <c r="C524" t="s">
        <v>444</v>
      </c>
      <c r="H524" s="1">
        <v>184520.53</v>
      </c>
      <c r="I524" s="1">
        <v>552.63</v>
      </c>
      <c r="J524" s="1"/>
      <c r="L524" s="8">
        <v>90</v>
      </c>
      <c r="M524" s="16" t="s">
        <v>570</v>
      </c>
      <c r="N524" t="s">
        <v>585</v>
      </c>
      <c r="O524" t="s">
        <v>16</v>
      </c>
      <c r="R524" s="3">
        <v>1</v>
      </c>
      <c r="S524" t="s">
        <v>18</v>
      </c>
      <c r="T524" s="2">
        <v>519844.76</v>
      </c>
    </row>
    <row r="525" spans="1:20" hidden="1" x14ac:dyDescent="0.35">
      <c r="A525" s="20">
        <v>46005</v>
      </c>
      <c r="B525">
        <v>8137333314</v>
      </c>
      <c r="C525" t="s">
        <v>318</v>
      </c>
      <c r="H525" s="1">
        <v>3612</v>
      </c>
      <c r="I525" s="1">
        <v>69</v>
      </c>
      <c r="J525" s="1"/>
      <c r="L525" s="3">
        <v>90</v>
      </c>
      <c r="M525" s="16" t="s">
        <v>476</v>
      </c>
      <c r="N525" t="s">
        <v>584</v>
      </c>
      <c r="O525" t="s">
        <v>16</v>
      </c>
      <c r="R525" s="3">
        <v>1</v>
      </c>
      <c r="S525" t="s">
        <v>18</v>
      </c>
      <c r="T525" s="2">
        <v>411298.29</v>
      </c>
    </row>
    <row r="526" spans="1:20" hidden="1" x14ac:dyDescent="0.35">
      <c r="A526" s="20">
        <v>46005</v>
      </c>
      <c r="B526">
        <v>8137333342</v>
      </c>
      <c r="C526" t="s">
        <v>325</v>
      </c>
      <c r="H526" s="1">
        <v>2892.8599999999997</v>
      </c>
      <c r="I526" s="1">
        <v>55.1</v>
      </c>
      <c r="J526" s="1"/>
      <c r="L526" s="3">
        <v>90</v>
      </c>
      <c r="M526" s="16" t="s">
        <v>481</v>
      </c>
      <c r="N526" t="s">
        <v>585</v>
      </c>
      <c r="O526" t="s">
        <v>16</v>
      </c>
      <c r="R526" s="3">
        <v>1</v>
      </c>
      <c r="S526" t="s">
        <v>18</v>
      </c>
      <c r="T526" s="2">
        <v>519844.76</v>
      </c>
    </row>
    <row r="527" spans="1:20" hidden="1" x14ac:dyDescent="0.35">
      <c r="A527" s="20">
        <v>46005</v>
      </c>
      <c r="B527">
        <v>8137333344</v>
      </c>
      <c r="C527" t="s">
        <v>379</v>
      </c>
      <c r="H527" s="1">
        <v>3321.44</v>
      </c>
      <c r="I527" s="1">
        <v>63.27</v>
      </c>
      <c r="J527" s="1"/>
      <c r="L527" s="3">
        <v>90</v>
      </c>
      <c r="M527" s="16" t="s">
        <v>517</v>
      </c>
      <c r="N527" t="s">
        <v>585</v>
      </c>
      <c r="O527" t="s">
        <v>16</v>
      </c>
      <c r="R527" s="3">
        <v>1</v>
      </c>
      <c r="S527" t="s">
        <v>18</v>
      </c>
      <c r="T527" s="2">
        <v>519844.76</v>
      </c>
    </row>
    <row r="528" spans="1:20" hidden="1" x14ac:dyDescent="0.35">
      <c r="A528" s="20">
        <v>46005</v>
      </c>
      <c r="B528">
        <v>8137333368</v>
      </c>
      <c r="C528" t="s">
        <v>448</v>
      </c>
      <c r="H528" s="7">
        <v>155278.71</v>
      </c>
      <c r="I528" s="7">
        <v>6751.25</v>
      </c>
      <c r="J528" s="7"/>
      <c r="L528" s="10">
        <v>90</v>
      </c>
      <c r="M528" s="16" t="s">
        <v>571</v>
      </c>
      <c r="N528" t="s">
        <v>585</v>
      </c>
      <c r="O528" t="s">
        <v>16</v>
      </c>
      <c r="R528" s="3">
        <v>1</v>
      </c>
      <c r="S528" t="s">
        <v>18</v>
      </c>
      <c r="T528" s="2">
        <v>519844.76</v>
      </c>
    </row>
    <row r="529" spans="1:20" hidden="1" x14ac:dyDescent="0.35">
      <c r="A529" s="20">
        <v>46005</v>
      </c>
      <c r="B529">
        <v>8137333374</v>
      </c>
      <c r="C529" t="s">
        <v>442</v>
      </c>
      <c r="H529" s="7">
        <v>8814.9599999999991</v>
      </c>
      <c r="I529" s="7">
        <v>167.91</v>
      </c>
      <c r="J529" s="7"/>
      <c r="L529" s="3">
        <v>90</v>
      </c>
      <c r="M529" s="16" t="s">
        <v>568</v>
      </c>
      <c r="N529" t="s">
        <v>585</v>
      </c>
      <c r="O529" t="s">
        <v>16</v>
      </c>
      <c r="R529" s="3">
        <v>1</v>
      </c>
      <c r="S529" t="s">
        <v>18</v>
      </c>
      <c r="T529" s="2">
        <v>519844.76</v>
      </c>
    </row>
    <row r="530" spans="1:20" hidden="1" x14ac:dyDescent="0.35">
      <c r="A530" s="20">
        <v>46006</v>
      </c>
      <c r="B530">
        <v>8137333488</v>
      </c>
      <c r="C530" t="s">
        <v>414</v>
      </c>
      <c r="H530" s="1">
        <v>167273.25</v>
      </c>
      <c r="I530" s="1">
        <v>7273</v>
      </c>
      <c r="J530" s="1"/>
      <c r="L530" s="8">
        <v>90</v>
      </c>
      <c r="M530" s="17">
        <v>334724606702</v>
      </c>
      <c r="N530" t="s">
        <v>584</v>
      </c>
      <c r="O530" t="s">
        <v>16</v>
      </c>
      <c r="R530" s="3">
        <v>1</v>
      </c>
      <c r="S530" t="s">
        <v>18</v>
      </c>
      <c r="T530" s="2">
        <v>411298.29</v>
      </c>
    </row>
    <row r="531" spans="1:20" hidden="1" x14ac:dyDescent="0.35">
      <c r="A531" s="20">
        <v>46006</v>
      </c>
      <c r="B531">
        <v>8137333565</v>
      </c>
      <c r="C531" t="s">
        <v>407</v>
      </c>
      <c r="H531" s="1">
        <v>116206.35</v>
      </c>
      <c r="I531" s="1">
        <v>5049</v>
      </c>
      <c r="J531" s="1"/>
      <c r="L531" s="8">
        <v>90</v>
      </c>
      <c r="M531" s="16" t="s">
        <v>542</v>
      </c>
      <c r="N531" t="s">
        <v>584</v>
      </c>
      <c r="O531" t="s">
        <v>16</v>
      </c>
      <c r="R531" s="3">
        <v>1</v>
      </c>
      <c r="S531" t="s">
        <v>18</v>
      </c>
      <c r="T531" s="2">
        <v>411298.29</v>
      </c>
    </row>
    <row r="532" spans="1:20" hidden="1" x14ac:dyDescent="0.35">
      <c r="A532" s="20">
        <v>46006</v>
      </c>
      <c r="B532">
        <v>8137333719</v>
      </c>
      <c r="C532" t="s">
        <v>340</v>
      </c>
      <c r="H532" s="1">
        <v>76114.599999999991</v>
      </c>
      <c r="I532" s="1">
        <v>1736.84</v>
      </c>
      <c r="J532" s="1"/>
      <c r="L532" s="8">
        <v>90</v>
      </c>
      <c r="M532" s="17">
        <v>494793330871</v>
      </c>
      <c r="N532" t="s">
        <v>585</v>
      </c>
      <c r="O532" t="s">
        <v>16</v>
      </c>
      <c r="R532" s="3">
        <v>1</v>
      </c>
      <c r="S532" t="s">
        <v>18</v>
      </c>
      <c r="T532" s="2">
        <v>519844.76</v>
      </c>
    </row>
    <row r="533" spans="1:20" hidden="1" x14ac:dyDescent="0.35">
      <c r="A533" s="20">
        <v>46006</v>
      </c>
      <c r="B533">
        <v>8137333825</v>
      </c>
      <c r="C533" t="s">
        <v>314</v>
      </c>
      <c r="H533" s="1">
        <v>3752.45</v>
      </c>
      <c r="I533" s="1">
        <v>163</v>
      </c>
      <c r="J533" s="1"/>
      <c r="L533" s="8">
        <v>90</v>
      </c>
      <c r="M533" s="16" t="s">
        <v>472</v>
      </c>
      <c r="N533" t="s">
        <v>584</v>
      </c>
      <c r="O533" t="s">
        <v>16</v>
      </c>
      <c r="R533" s="3">
        <v>1</v>
      </c>
      <c r="S533" t="s">
        <v>18</v>
      </c>
      <c r="T533" s="2">
        <v>411298.29</v>
      </c>
    </row>
    <row r="534" spans="1:20" hidden="1" x14ac:dyDescent="0.35">
      <c r="A534" s="20">
        <v>46006</v>
      </c>
      <c r="B534">
        <v>8137333827</v>
      </c>
      <c r="C534" t="s">
        <v>31</v>
      </c>
      <c r="H534" s="1">
        <v>5629.25</v>
      </c>
      <c r="I534" s="1">
        <v>245</v>
      </c>
      <c r="J534" s="1"/>
      <c r="L534" s="8">
        <v>90</v>
      </c>
      <c r="M534" s="16" t="s">
        <v>188</v>
      </c>
      <c r="N534" t="s">
        <v>584</v>
      </c>
      <c r="O534" t="s">
        <v>16</v>
      </c>
      <c r="R534" s="3">
        <v>1</v>
      </c>
      <c r="S534" t="s">
        <v>18</v>
      </c>
      <c r="T534" s="2">
        <v>411298.29</v>
      </c>
    </row>
    <row r="535" spans="1:20" hidden="1" x14ac:dyDescent="0.35">
      <c r="A535" s="20">
        <v>46006</v>
      </c>
      <c r="B535">
        <v>8137333828</v>
      </c>
      <c r="C535" t="s">
        <v>313</v>
      </c>
      <c r="H535" s="1">
        <v>11862.25</v>
      </c>
      <c r="I535" s="1">
        <v>515</v>
      </c>
      <c r="J535" s="1"/>
      <c r="L535" s="8">
        <v>90</v>
      </c>
      <c r="M535" s="16" t="s">
        <v>295</v>
      </c>
      <c r="N535" t="s">
        <v>585</v>
      </c>
      <c r="O535" t="s">
        <v>16</v>
      </c>
      <c r="R535" s="3">
        <v>1</v>
      </c>
      <c r="S535" t="s">
        <v>18</v>
      </c>
      <c r="T535" s="2">
        <v>519844.76</v>
      </c>
    </row>
    <row r="536" spans="1:20" hidden="1" x14ac:dyDescent="0.35">
      <c r="A536" s="20">
        <v>46006</v>
      </c>
      <c r="B536">
        <v>8137333849</v>
      </c>
      <c r="C536" t="s">
        <v>325</v>
      </c>
      <c r="H536" s="1">
        <v>2635.71</v>
      </c>
      <c r="I536" s="1">
        <v>50.2</v>
      </c>
      <c r="J536" s="1"/>
      <c r="L536" s="3">
        <v>90</v>
      </c>
      <c r="M536" s="16" t="s">
        <v>481</v>
      </c>
      <c r="N536" t="s">
        <v>585</v>
      </c>
      <c r="O536" t="s">
        <v>16</v>
      </c>
      <c r="R536" s="3">
        <v>1</v>
      </c>
      <c r="S536" t="s">
        <v>18</v>
      </c>
      <c r="T536" s="2">
        <v>519844.76</v>
      </c>
    </row>
    <row r="537" spans="1:20" hidden="1" x14ac:dyDescent="0.35">
      <c r="A537" s="20">
        <v>46006</v>
      </c>
      <c r="B537">
        <v>8137333926</v>
      </c>
      <c r="C537" t="s">
        <v>316</v>
      </c>
      <c r="H537" s="1">
        <v>2457</v>
      </c>
      <c r="I537" s="1">
        <v>47</v>
      </c>
      <c r="J537" s="1"/>
      <c r="L537" s="3">
        <v>90</v>
      </c>
      <c r="M537" s="16" t="s">
        <v>474</v>
      </c>
      <c r="N537" t="s">
        <v>584</v>
      </c>
      <c r="O537" t="s">
        <v>16</v>
      </c>
      <c r="R537" s="3">
        <v>1</v>
      </c>
      <c r="S537" t="s">
        <v>18</v>
      </c>
      <c r="T537" s="2">
        <v>411298.29</v>
      </c>
    </row>
    <row r="538" spans="1:20" hidden="1" x14ac:dyDescent="0.35">
      <c r="A538" s="20">
        <v>46006</v>
      </c>
      <c r="B538">
        <v>8137333927</v>
      </c>
      <c r="C538" t="s">
        <v>318</v>
      </c>
      <c r="H538" s="1">
        <v>5134.5</v>
      </c>
      <c r="I538" s="1">
        <v>98</v>
      </c>
      <c r="J538" s="1"/>
      <c r="L538" s="3">
        <v>90</v>
      </c>
      <c r="M538" s="16" t="s">
        <v>476</v>
      </c>
      <c r="N538" t="s">
        <v>584</v>
      </c>
      <c r="O538" t="s">
        <v>16</v>
      </c>
      <c r="R538" s="3">
        <v>1</v>
      </c>
      <c r="S538" t="s">
        <v>18</v>
      </c>
      <c r="T538" s="2">
        <v>411298.29</v>
      </c>
    </row>
    <row r="539" spans="1:20" hidden="1" x14ac:dyDescent="0.35">
      <c r="A539" s="20">
        <v>46008</v>
      </c>
      <c r="B539">
        <v>8137334123</v>
      </c>
      <c r="C539" t="s">
        <v>50</v>
      </c>
      <c r="H539" s="1">
        <v>43209.049999999996</v>
      </c>
      <c r="I539" s="1">
        <v>1377</v>
      </c>
      <c r="J539" s="1"/>
      <c r="L539" s="3">
        <v>90</v>
      </c>
      <c r="M539" s="16" t="s">
        <v>199</v>
      </c>
      <c r="N539" t="s">
        <v>585</v>
      </c>
      <c r="O539" t="s">
        <v>16</v>
      </c>
      <c r="R539" s="3">
        <v>1</v>
      </c>
      <c r="S539" t="s">
        <v>18</v>
      </c>
      <c r="T539" s="2">
        <v>519844.76</v>
      </c>
    </row>
    <row r="540" spans="1:20" hidden="1" x14ac:dyDescent="0.35">
      <c r="A540" s="20">
        <v>46008</v>
      </c>
      <c r="B540">
        <v>8137334130</v>
      </c>
      <c r="C540" t="s">
        <v>334</v>
      </c>
      <c r="H540" s="1">
        <v>30446.799999999999</v>
      </c>
      <c r="I540" s="1">
        <v>962</v>
      </c>
      <c r="J540" s="1"/>
      <c r="L540" s="8">
        <v>90</v>
      </c>
      <c r="M540" s="16" t="s">
        <v>489</v>
      </c>
      <c r="N540" t="s">
        <v>584</v>
      </c>
      <c r="O540" t="s">
        <v>16</v>
      </c>
      <c r="R540" s="3">
        <v>1</v>
      </c>
      <c r="S540" t="s">
        <v>18</v>
      </c>
      <c r="T540" s="2">
        <v>411298.29</v>
      </c>
    </row>
    <row r="541" spans="1:20" hidden="1" x14ac:dyDescent="0.35">
      <c r="A541" s="20">
        <v>46008</v>
      </c>
      <c r="B541">
        <v>8137334363</v>
      </c>
      <c r="C541" t="s">
        <v>149</v>
      </c>
      <c r="H541" s="1">
        <v>4600</v>
      </c>
      <c r="I541" s="1">
        <v>400</v>
      </c>
      <c r="J541" s="1"/>
      <c r="L541" s="8">
        <v>90</v>
      </c>
      <c r="M541" s="17" t="s">
        <v>572</v>
      </c>
      <c r="N541" t="s">
        <v>585</v>
      </c>
      <c r="O541" t="s">
        <v>16</v>
      </c>
      <c r="R541" s="3">
        <v>1</v>
      </c>
      <c r="S541" t="s">
        <v>18</v>
      </c>
      <c r="T541" s="2">
        <v>519844.76</v>
      </c>
    </row>
    <row r="542" spans="1:20" hidden="1" x14ac:dyDescent="0.35">
      <c r="A542" s="20">
        <v>46008</v>
      </c>
      <c r="B542">
        <v>8137334440</v>
      </c>
      <c r="C542" t="s">
        <v>19</v>
      </c>
      <c r="H542" s="1">
        <v>12650</v>
      </c>
      <c r="I542" s="1">
        <v>220</v>
      </c>
      <c r="J542" s="1"/>
      <c r="L542" s="3">
        <v>90</v>
      </c>
      <c r="M542" s="17" t="s">
        <v>552</v>
      </c>
      <c r="N542" t="s">
        <v>585</v>
      </c>
      <c r="O542" t="s">
        <v>16</v>
      </c>
      <c r="R542" s="3">
        <v>1</v>
      </c>
      <c r="S542" t="s">
        <v>18</v>
      </c>
      <c r="T542" s="2">
        <v>519844.76</v>
      </c>
    </row>
    <row r="543" spans="1:20" hidden="1" x14ac:dyDescent="0.35">
      <c r="A543" s="20">
        <v>46008</v>
      </c>
      <c r="B543">
        <v>8137334701</v>
      </c>
      <c r="C543" t="s">
        <v>313</v>
      </c>
      <c r="H543" s="1">
        <v>3993.95</v>
      </c>
      <c r="I543" s="1">
        <v>173</v>
      </c>
      <c r="J543" s="1"/>
      <c r="L543" s="8">
        <v>90</v>
      </c>
      <c r="M543" s="16" t="s">
        <v>295</v>
      </c>
      <c r="N543" t="s">
        <v>585</v>
      </c>
      <c r="O543" t="s">
        <v>16</v>
      </c>
      <c r="R543" s="3">
        <v>1</v>
      </c>
      <c r="S543" t="s">
        <v>18</v>
      </c>
      <c r="T543" s="2">
        <v>519844.76</v>
      </c>
    </row>
    <row r="544" spans="1:20" hidden="1" x14ac:dyDescent="0.35">
      <c r="A544" s="20">
        <v>46008</v>
      </c>
      <c r="B544">
        <v>8137334725</v>
      </c>
      <c r="C544" t="s">
        <v>314</v>
      </c>
      <c r="H544" s="1">
        <v>3752.45</v>
      </c>
      <c r="I544" s="1">
        <v>163</v>
      </c>
      <c r="J544" s="1"/>
      <c r="L544" s="8">
        <v>90</v>
      </c>
      <c r="M544" s="16" t="s">
        <v>472</v>
      </c>
      <c r="N544" t="s">
        <v>584</v>
      </c>
      <c r="O544" t="s">
        <v>16</v>
      </c>
      <c r="R544" s="3">
        <v>1</v>
      </c>
      <c r="S544" t="s">
        <v>18</v>
      </c>
      <c r="T544" s="2">
        <v>411298.29</v>
      </c>
    </row>
    <row r="545" spans="1:20" hidden="1" x14ac:dyDescent="0.35">
      <c r="A545" s="20">
        <v>46008</v>
      </c>
      <c r="B545">
        <v>8137334800</v>
      </c>
      <c r="C545" t="s">
        <v>442</v>
      </c>
      <c r="H545" s="1">
        <v>28837.409999999996</v>
      </c>
      <c r="I545" s="1">
        <v>743.59</v>
      </c>
      <c r="J545" s="1"/>
      <c r="L545" s="8">
        <v>90</v>
      </c>
      <c r="M545" s="16" t="s">
        <v>568</v>
      </c>
      <c r="N545" t="s">
        <v>585</v>
      </c>
      <c r="O545" t="s">
        <v>16</v>
      </c>
      <c r="R545" s="3">
        <v>1</v>
      </c>
      <c r="S545" t="s">
        <v>18</v>
      </c>
      <c r="T545" s="2">
        <v>519844.76</v>
      </c>
    </row>
    <row r="546" spans="1:20" hidden="1" x14ac:dyDescent="0.35">
      <c r="A546" s="20">
        <v>46008</v>
      </c>
      <c r="B546">
        <v>8137334809</v>
      </c>
      <c r="C546" t="s">
        <v>325</v>
      </c>
      <c r="H546" s="1">
        <v>5464.29</v>
      </c>
      <c r="I546" s="1">
        <v>104.08</v>
      </c>
      <c r="J546" s="1"/>
      <c r="L546" s="3">
        <v>90</v>
      </c>
      <c r="M546" s="16" t="s">
        <v>481</v>
      </c>
      <c r="N546" t="s">
        <v>585</v>
      </c>
      <c r="O546" t="s">
        <v>16</v>
      </c>
      <c r="R546" s="3">
        <v>1</v>
      </c>
      <c r="S546" t="s">
        <v>18</v>
      </c>
      <c r="T546" s="2">
        <v>519844.76</v>
      </c>
    </row>
    <row r="547" spans="1:20" hidden="1" x14ac:dyDescent="0.35">
      <c r="A547" s="20">
        <v>46008</v>
      </c>
      <c r="B547">
        <v>8137334848</v>
      </c>
      <c r="C547" t="s">
        <v>449</v>
      </c>
      <c r="H547" s="1">
        <v>11000</v>
      </c>
      <c r="I547" s="1">
        <v>1434.79</v>
      </c>
      <c r="J547" s="1"/>
      <c r="L547" s="3">
        <v>90</v>
      </c>
      <c r="M547" s="16" t="s">
        <v>573</v>
      </c>
      <c r="N547" t="s">
        <v>584</v>
      </c>
      <c r="O547" t="s">
        <v>16</v>
      </c>
      <c r="R547" s="3">
        <v>1</v>
      </c>
      <c r="S547" t="s">
        <v>18</v>
      </c>
      <c r="T547" s="2">
        <v>411298.29</v>
      </c>
    </row>
    <row r="548" spans="1:20" hidden="1" x14ac:dyDescent="0.35">
      <c r="A548" s="20">
        <v>46009</v>
      </c>
      <c r="B548">
        <v>8137334977</v>
      </c>
      <c r="C548" t="s">
        <v>174</v>
      </c>
      <c r="H548" s="1">
        <v>21405</v>
      </c>
      <c r="I548" s="1">
        <v>735</v>
      </c>
      <c r="J548" s="1"/>
      <c r="L548" s="8">
        <v>90</v>
      </c>
      <c r="M548" s="16" t="s">
        <v>253</v>
      </c>
      <c r="N548" t="s">
        <v>584</v>
      </c>
      <c r="O548" t="s">
        <v>16</v>
      </c>
      <c r="R548" s="3">
        <v>1</v>
      </c>
      <c r="S548" t="s">
        <v>18</v>
      </c>
      <c r="T548" s="2">
        <v>411298.29</v>
      </c>
    </row>
    <row r="549" spans="1:20" hidden="1" x14ac:dyDescent="0.35">
      <c r="A549" s="20">
        <v>46009</v>
      </c>
      <c r="B549">
        <v>8137334989</v>
      </c>
      <c r="C549" t="s">
        <v>447</v>
      </c>
      <c r="H549" s="1">
        <v>16823</v>
      </c>
      <c r="I549" s="1">
        <v>510</v>
      </c>
      <c r="J549" s="1"/>
      <c r="L549" s="3">
        <v>90</v>
      </c>
      <c r="M549" s="17">
        <v>150789723096</v>
      </c>
      <c r="N549" t="s">
        <v>584</v>
      </c>
      <c r="O549" t="s">
        <v>16</v>
      </c>
      <c r="R549" s="3">
        <v>1</v>
      </c>
      <c r="S549" t="s">
        <v>18</v>
      </c>
      <c r="T549" s="2">
        <v>411298.29</v>
      </c>
    </row>
    <row r="550" spans="1:20" hidden="1" x14ac:dyDescent="0.35">
      <c r="A550" s="20">
        <v>46009</v>
      </c>
      <c r="B550">
        <v>8137335040</v>
      </c>
      <c r="C550" t="s">
        <v>50</v>
      </c>
      <c r="H550" s="1">
        <v>23456.6</v>
      </c>
      <c r="I550" s="1">
        <v>764</v>
      </c>
      <c r="J550" s="1"/>
      <c r="L550" s="3">
        <v>90</v>
      </c>
      <c r="M550" s="16" t="s">
        <v>199</v>
      </c>
      <c r="N550" t="s">
        <v>585</v>
      </c>
      <c r="O550" t="s">
        <v>16</v>
      </c>
      <c r="R550" s="3">
        <v>1</v>
      </c>
      <c r="S550" t="s">
        <v>18</v>
      </c>
      <c r="T550" s="2">
        <v>519844.76</v>
      </c>
    </row>
    <row r="551" spans="1:20" hidden="1" x14ac:dyDescent="0.35">
      <c r="A551" s="20">
        <v>46009</v>
      </c>
      <c r="B551">
        <v>8137335274</v>
      </c>
      <c r="C551" t="s">
        <v>325</v>
      </c>
      <c r="H551" s="1">
        <v>3000</v>
      </c>
      <c r="I551" s="1">
        <v>57.14</v>
      </c>
      <c r="J551" s="1"/>
      <c r="L551" s="3">
        <v>90</v>
      </c>
      <c r="M551" s="16" t="s">
        <v>481</v>
      </c>
      <c r="N551" t="s">
        <v>585</v>
      </c>
      <c r="O551" t="s">
        <v>16</v>
      </c>
      <c r="R551" s="3">
        <v>1</v>
      </c>
      <c r="S551" t="s">
        <v>18</v>
      </c>
      <c r="T551" s="2">
        <v>519844.76</v>
      </c>
    </row>
    <row r="552" spans="1:20" hidden="1" x14ac:dyDescent="0.35">
      <c r="A552" s="20">
        <v>46011</v>
      </c>
      <c r="B552">
        <v>8137335454</v>
      </c>
      <c r="C552" t="s">
        <v>450</v>
      </c>
      <c r="H552" s="1">
        <v>16206</v>
      </c>
      <c r="I552" s="1">
        <v>1413.52</v>
      </c>
      <c r="J552" s="1"/>
      <c r="L552" s="3">
        <v>90</v>
      </c>
      <c r="M552" s="17">
        <v>424374711931</v>
      </c>
      <c r="N552" t="s">
        <v>585</v>
      </c>
      <c r="O552" t="s">
        <v>16</v>
      </c>
      <c r="R552" s="3">
        <v>1</v>
      </c>
      <c r="S552" t="s">
        <v>18</v>
      </c>
      <c r="T552" s="2">
        <v>519844.76</v>
      </c>
    </row>
    <row r="553" spans="1:20" hidden="1" x14ac:dyDescent="0.35">
      <c r="A553" s="20">
        <v>46011</v>
      </c>
      <c r="B553">
        <v>8137335456</v>
      </c>
      <c r="C553" t="s">
        <v>366</v>
      </c>
      <c r="H553" s="1">
        <v>101067.75</v>
      </c>
      <c r="I553" s="1">
        <v>1925.1</v>
      </c>
      <c r="J553" s="1"/>
      <c r="L553" s="3">
        <v>90</v>
      </c>
      <c r="M553" s="17">
        <v>196216386173</v>
      </c>
      <c r="N553" t="s">
        <v>584</v>
      </c>
      <c r="O553" t="s">
        <v>16</v>
      </c>
      <c r="R553" s="3">
        <v>1</v>
      </c>
      <c r="S553" t="s">
        <v>18</v>
      </c>
      <c r="T553" s="2">
        <v>411298.29</v>
      </c>
    </row>
    <row r="554" spans="1:20" hidden="1" x14ac:dyDescent="0.35">
      <c r="A554" s="20">
        <v>46011</v>
      </c>
      <c r="B554">
        <v>8137335457</v>
      </c>
      <c r="C554" t="s">
        <v>367</v>
      </c>
      <c r="H554" s="1">
        <v>30505.27</v>
      </c>
      <c r="I554" s="1">
        <v>1326.32</v>
      </c>
      <c r="J554" s="1"/>
      <c r="L554" s="8">
        <v>90</v>
      </c>
      <c r="M554" s="17">
        <v>174440714475</v>
      </c>
      <c r="N554" t="s">
        <v>585</v>
      </c>
      <c r="O554" t="s">
        <v>16</v>
      </c>
      <c r="R554" s="3">
        <v>1</v>
      </c>
      <c r="S554" t="s">
        <v>18</v>
      </c>
      <c r="T554" s="2">
        <v>519844.76</v>
      </c>
    </row>
    <row r="555" spans="1:20" hidden="1" x14ac:dyDescent="0.35">
      <c r="A555" s="20">
        <v>46012</v>
      </c>
      <c r="B555">
        <v>8137335780</v>
      </c>
      <c r="C555" t="s">
        <v>425</v>
      </c>
      <c r="H555" s="1">
        <v>107999.69</v>
      </c>
      <c r="I555" s="1">
        <v>868.42</v>
      </c>
      <c r="J555" s="1"/>
      <c r="L555" s="8">
        <v>90</v>
      </c>
      <c r="M555" s="16" t="s">
        <v>555</v>
      </c>
      <c r="N555" t="s">
        <v>585</v>
      </c>
      <c r="O555" t="s">
        <v>16</v>
      </c>
      <c r="R555" s="3">
        <v>1</v>
      </c>
      <c r="S555" t="s">
        <v>18</v>
      </c>
      <c r="T555" s="2">
        <v>519844.76</v>
      </c>
    </row>
    <row r="556" spans="1:20" hidden="1" x14ac:dyDescent="0.35">
      <c r="A556" s="20">
        <v>46012</v>
      </c>
      <c r="B556">
        <v>8137335845</v>
      </c>
      <c r="C556" t="s">
        <v>408</v>
      </c>
      <c r="H556" s="1">
        <v>77228.55</v>
      </c>
      <c r="I556" s="1">
        <v>1471</v>
      </c>
      <c r="J556" s="1"/>
      <c r="L556" s="3">
        <v>90</v>
      </c>
      <c r="M556" s="17" t="s">
        <v>543</v>
      </c>
      <c r="N556" t="s">
        <v>585</v>
      </c>
      <c r="O556" t="s">
        <v>16</v>
      </c>
      <c r="R556" s="3">
        <v>1</v>
      </c>
      <c r="S556" t="s">
        <v>18</v>
      </c>
      <c r="T556" s="2">
        <v>519844.76</v>
      </c>
    </row>
    <row r="557" spans="1:20" hidden="1" x14ac:dyDescent="0.35">
      <c r="A557" s="20">
        <v>46012</v>
      </c>
      <c r="B557">
        <v>8137335969</v>
      </c>
      <c r="C557" t="s">
        <v>314</v>
      </c>
      <c r="H557" s="1">
        <v>5629.25</v>
      </c>
      <c r="I557" s="1">
        <v>245</v>
      </c>
      <c r="J557" s="1"/>
      <c r="L557" s="8">
        <v>90</v>
      </c>
      <c r="M557" s="16" t="s">
        <v>472</v>
      </c>
      <c r="N557" t="s">
        <v>584</v>
      </c>
      <c r="O557" t="s">
        <v>16</v>
      </c>
      <c r="R557" s="3">
        <v>1</v>
      </c>
      <c r="S557" t="s">
        <v>18</v>
      </c>
      <c r="T557" s="2">
        <v>411298.29</v>
      </c>
    </row>
    <row r="558" spans="1:20" hidden="1" x14ac:dyDescent="0.35">
      <c r="A558" s="20">
        <v>46012</v>
      </c>
      <c r="B558">
        <v>8137335970</v>
      </c>
      <c r="C558" t="s">
        <v>31</v>
      </c>
      <c r="H558" s="1">
        <v>5629.25</v>
      </c>
      <c r="I558" s="1">
        <v>245</v>
      </c>
      <c r="J558" s="1"/>
      <c r="L558" s="8">
        <v>90</v>
      </c>
      <c r="M558" s="16" t="s">
        <v>188</v>
      </c>
      <c r="N558" t="s">
        <v>584</v>
      </c>
      <c r="O558" t="s">
        <v>16</v>
      </c>
      <c r="R558" s="3">
        <v>1</v>
      </c>
      <c r="S558" t="s">
        <v>18</v>
      </c>
      <c r="T558" s="2">
        <v>411298.29</v>
      </c>
    </row>
    <row r="559" spans="1:20" hidden="1" x14ac:dyDescent="0.35">
      <c r="A559" s="20">
        <v>46012</v>
      </c>
      <c r="B559">
        <v>8137335972</v>
      </c>
      <c r="C559" t="s">
        <v>313</v>
      </c>
      <c r="H559" s="1">
        <v>23725.65</v>
      </c>
      <c r="I559" s="1">
        <v>1031</v>
      </c>
      <c r="J559" s="1"/>
      <c r="L559" s="8">
        <v>90</v>
      </c>
      <c r="M559" s="16" t="s">
        <v>295</v>
      </c>
      <c r="N559" t="s">
        <v>585</v>
      </c>
      <c r="O559" t="s">
        <v>16</v>
      </c>
      <c r="R559" s="3">
        <v>1</v>
      </c>
      <c r="S559" t="s">
        <v>18</v>
      </c>
      <c r="T559" s="2">
        <v>519844.76</v>
      </c>
    </row>
    <row r="560" spans="1:20" hidden="1" x14ac:dyDescent="0.35">
      <c r="A560" s="20">
        <v>46012</v>
      </c>
      <c r="B560">
        <v>8137335973</v>
      </c>
      <c r="C560" t="s">
        <v>412</v>
      </c>
      <c r="H560" s="1">
        <v>1876.8</v>
      </c>
      <c r="I560" s="1">
        <v>82</v>
      </c>
      <c r="J560" s="1"/>
      <c r="L560" s="8">
        <v>90</v>
      </c>
      <c r="M560" s="16" t="s">
        <v>546</v>
      </c>
      <c r="N560" t="s">
        <v>585</v>
      </c>
      <c r="O560" t="s">
        <v>16</v>
      </c>
      <c r="R560" s="3">
        <v>1</v>
      </c>
      <c r="S560" t="s">
        <v>18</v>
      </c>
      <c r="T560" s="2">
        <v>519844.76</v>
      </c>
    </row>
    <row r="561" spans="1:20" hidden="1" x14ac:dyDescent="0.35">
      <c r="A561" s="20">
        <v>46012</v>
      </c>
      <c r="B561">
        <v>8137336015</v>
      </c>
      <c r="C561" t="s">
        <v>316</v>
      </c>
      <c r="H561" s="1">
        <v>7686</v>
      </c>
      <c r="I561" s="1">
        <v>146</v>
      </c>
      <c r="J561" s="1"/>
      <c r="L561" s="3">
        <v>90</v>
      </c>
      <c r="M561" s="16" t="s">
        <v>474</v>
      </c>
      <c r="N561" t="s">
        <v>584</v>
      </c>
      <c r="O561" t="s">
        <v>16</v>
      </c>
      <c r="R561" s="3">
        <v>1</v>
      </c>
      <c r="S561" t="s">
        <v>18</v>
      </c>
      <c r="T561" s="2">
        <v>411298.29</v>
      </c>
    </row>
    <row r="562" spans="1:20" hidden="1" x14ac:dyDescent="0.35">
      <c r="A562" s="20">
        <v>46012</v>
      </c>
      <c r="B562">
        <v>8137336333</v>
      </c>
      <c r="C562" t="s">
        <v>51</v>
      </c>
      <c r="H562" s="1">
        <v>48555.85</v>
      </c>
      <c r="I562" s="1">
        <v>1389</v>
      </c>
      <c r="J562" s="1"/>
      <c r="L562" s="3">
        <v>90</v>
      </c>
      <c r="M562" s="16" t="s">
        <v>200</v>
      </c>
      <c r="N562" t="s">
        <v>584</v>
      </c>
      <c r="O562" t="s">
        <v>16</v>
      </c>
      <c r="R562" s="3">
        <v>1</v>
      </c>
      <c r="S562" t="s">
        <v>18</v>
      </c>
      <c r="T562" s="2">
        <v>411298.29</v>
      </c>
    </row>
    <row r="563" spans="1:20" hidden="1" x14ac:dyDescent="0.35">
      <c r="A563" s="20">
        <v>46012</v>
      </c>
      <c r="B563">
        <v>8137336334</v>
      </c>
      <c r="C563" t="s">
        <v>329</v>
      </c>
      <c r="H563" s="1">
        <v>39740</v>
      </c>
      <c r="I563" s="1">
        <v>1110</v>
      </c>
      <c r="J563" s="1"/>
      <c r="L563" s="3">
        <v>90</v>
      </c>
      <c r="M563" s="16" t="s">
        <v>484</v>
      </c>
      <c r="N563" t="s">
        <v>584</v>
      </c>
      <c r="O563" t="s">
        <v>16</v>
      </c>
      <c r="R563" s="3">
        <v>1</v>
      </c>
      <c r="S563" t="s">
        <v>18</v>
      </c>
      <c r="T563" s="2">
        <v>411298.29</v>
      </c>
    </row>
    <row r="564" spans="1:20" hidden="1" x14ac:dyDescent="0.35">
      <c r="A564" s="20">
        <v>46012</v>
      </c>
      <c r="B564">
        <v>8137336337</v>
      </c>
      <c r="C564" t="s">
        <v>50</v>
      </c>
      <c r="H564" s="1">
        <v>61284.899999999994</v>
      </c>
      <c r="I564" s="1">
        <v>1896</v>
      </c>
      <c r="J564" s="1"/>
      <c r="L564" s="3">
        <v>90</v>
      </c>
      <c r="M564" s="16" t="s">
        <v>199</v>
      </c>
      <c r="N564" t="s">
        <v>585</v>
      </c>
      <c r="O564" t="s">
        <v>16</v>
      </c>
      <c r="R564" s="3">
        <v>1</v>
      </c>
      <c r="S564" t="s">
        <v>18</v>
      </c>
      <c r="T564" s="2">
        <v>519844.76</v>
      </c>
    </row>
    <row r="565" spans="1:20" hidden="1" x14ac:dyDescent="0.35">
      <c r="A565" s="20">
        <v>46013</v>
      </c>
      <c r="B565">
        <v>8137336822</v>
      </c>
      <c r="C565" t="s">
        <v>86</v>
      </c>
      <c r="H565" s="1">
        <v>62462.25</v>
      </c>
      <c r="I565" s="1">
        <v>2715.75</v>
      </c>
      <c r="J565" s="1"/>
      <c r="L565" s="8">
        <v>90</v>
      </c>
      <c r="M565" s="16" t="s">
        <v>215</v>
      </c>
      <c r="N565" t="s">
        <v>585</v>
      </c>
      <c r="O565" t="s">
        <v>16</v>
      </c>
      <c r="R565" s="3">
        <v>1</v>
      </c>
      <c r="S565" t="s">
        <v>18</v>
      </c>
      <c r="T565" s="2">
        <v>519844.76</v>
      </c>
    </row>
    <row r="566" spans="1:20" hidden="1" x14ac:dyDescent="0.35">
      <c r="A566" s="20">
        <v>46013</v>
      </c>
      <c r="B566">
        <v>8137336827</v>
      </c>
      <c r="C566" t="s">
        <v>407</v>
      </c>
      <c r="H566" s="1">
        <v>86066</v>
      </c>
      <c r="I566" s="1">
        <v>3740</v>
      </c>
      <c r="J566" s="1"/>
      <c r="L566" s="8">
        <v>90</v>
      </c>
      <c r="M566" s="16" t="s">
        <v>542</v>
      </c>
      <c r="N566" t="s">
        <v>584</v>
      </c>
      <c r="O566" t="s">
        <v>16</v>
      </c>
      <c r="R566" s="3">
        <v>1</v>
      </c>
      <c r="S566" t="s">
        <v>18</v>
      </c>
      <c r="T566" s="2">
        <v>411298.29</v>
      </c>
    </row>
    <row r="567" spans="1:20" hidden="1" x14ac:dyDescent="0.35">
      <c r="A567" s="20">
        <v>46013</v>
      </c>
      <c r="B567">
        <v>8137336864</v>
      </c>
      <c r="C567" t="s">
        <v>50</v>
      </c>
      <c r="H567" s="1">
        <v>40132.450000000004</v>
      </c>
      <c r="I567" s="1">
        <v>1283</v>
      </c>
      <c r="J567" s="1"/>
      <c r="L567" s="3">
        <v>90</v>
      </c>
      <c r="M567" s="16" t="s">
        <v>199</v>
      </c>
      <c r="N567" t="s">
        <v>585</v>
      </c>
      <c r="O567" t="s">
        <v>16</v>
      </c>
      <c r="R567" s="3">
        <v>1</v>
      </c>
      <c r="S567" t="s">
        <v>18</v>
      </c>
      <c r="T567" s="2">
        <v>519844.76</v>
      </c>
    </row>
    <row r="568" spans="1:20" hidden="1" x14ac:dyDescent="0.35">
      <c r="A568" s="20">
        <v>46013</v>
      </c>
      <c r="B568">
        <v>8137336888</v>
      </c>
      <c r="C568" t="s">
        <v>379</v>
      </c>
      <c r="H568" s="1">
        <v>8817.8599999999988</v>
      </c>
      <c r="I568" s="1">
        <v>167.96</v>
      </c>
      <c r="J568" s="1"/>
      <c r="L568" s="3">
        <v>90</v>
      </c>
      <c r="M568" s="16" t="s">
        <v>517</v>
      </c>
      <c r="N568" t="s">
        <v>585</v>
      </c>
      <c r="O568" t="s">
        <v>16</v>
      </c>
      <c r="R568" s="3">
        <v>1</v>
      </c>
      <c r="S568" t="s">
        <v>18</v>
      </c>
      <c r="T568" s="2">
        <v>519844.76</v>
      </c>
    </row>
    <row r="569" spans="1:20" hidden="1" x14ac:dyDescent="0.35">
      <c r="A569" s="20">
        <v>46013</v>
      </c>
      <c r="B569">
        <v>8137337007</v>
      </c>
      <c r="C569" t="s">
        <v>367</v>
      </c>
      <c r="H569" s="1">
        <v>6778.96</v>
      </c>
      <c r="I569" s="1">
        <v>294.74</v>
      </c>
      <c r="J569" s="1"/>
      <c r="L569" s="8">
        <v>90</v>
      </c>
      <c r="M569" s="17">
        <v>174440714475</v>
      </c>
      <c r="N569" t="s">
        <v>585</v>
      </c>
      <c r="O569" t="s">
        <v>16</v>
      </c>
      <c r="R569" s="3">
        <v>1</v>
      </c>
      <c r="S569" t="s">
        <v>18</v>
      </c>
      <c r="T569" s="2">
        <v>519844.76</v>
      </c>
    </row>
    <row r="570" spans="1:20" hidden="1" x14ac:dyDescent="0.35">
      <c r="A570" s="20">
        <v>46013</v>
      </c>
      <c r="B570">
        <v>8137337009</v>
      </c>
      <c r="C570" t="s">
        <v>451</v>
      </c>
      <c r="H570" s="1">
        <v>13557.9</v>
      </c>
      <c r="I570" s="1">
        <v>589.47</v>
      </c>
      <c r="J570" s="1"/>
      <c r="L570" s="8">
        <v>90</v>
      </c>
      <c r="M570" s="16" t="s">
        <v>574</v>
      </c>
      <c r="N570" t="s">
        <v>585</v>
      </c>
      <c r="O570" t="s">
        <v>16</v>
      </c>
      <c r="R570" s="3">
        <v>1</v>
      </c>
      <c r="S570" t="s">
        <v>18</v>
      </c>
      <c r="T570" s="2">
        <v>519844.76</v>
      </c>
    </row>
    <row r="571" spans="1:20" hidden="1" x14ac:dyDescent="0.35">
      <c r="A571" s="20">
        <v>46014</v>
      </c>
      <c r="B571">
        <v>8137337160</v>
      </c>
      <c r="C571" t="s">
        <v>444</v>
      </c>
      <c r="H571" s="1">
        <v>169566.26</v>
      </c>
      <c r="I571" s="1">
        <v>1026.31</v>
      </c>
      <c r="J571" s="1"/>
      <c r="L571" s="3">
        <v>90</v>
      </c>
      <c r="M571" s="16" t="s">
        <v>570</v>
      </c>
      <c r="N571" t="s">
        <v>585</v>
      </c>
      <c r="O571" t="s">
        <v>16</v>
      </c>
      <c r="R571" s="3">
        <v>1</v>
      </c>
      <c r="S571" t="s">
        <v>18</v>
      </c>
      <c r="T571" s="2">
        <v>519844.76</v>
      </c>
    </row>
    <row r="572" spans="1:20" hidden="1" x14ac:dyDescent="0.35">
      <c r="A572" s="20">
        <v>46014</v>
      </c>
      <c r="B572">
        <v>8137337185</v>
      </c>
      <c r="C572" t="s">
        <v>313</v>
      </c>
      <c r="H572" s="1">
        <v>9985.4500000000007</v>
      </c>
      <c r="I572" s="1">
        <v>433</v>
      </c>
      <c r="J572" s="1"/>
      <c r="L572" s="8">
        <v>90</v>
      </c>
      <c r="M572" s="16" t="s">
        <v>295</v>
      </c>
      <c r="N572" t="s">
        <v>585</v>
      </c>
      <c r="O572" t="s">
        <v>16</v>
      </c>
      <c r="R572" s="3">
        <v>1</v>
      </c>
      <c r="S572" t="s">
        <v>18</v>
      </c>
      <c r="T572" s="2">
        <v>519844.76</v>
      </c>
    </row>
    <row r="573" spans="1:20" hidden="1" x14ac:dyDescent="0.35">
      <c r="A573" s="20">
        <v>46014</v>
      </c>
      <c r="B573">
        <v>8137337187</v>
      </c>
      <c r="C573" t="s">
        <v>314</v>
      </c>
      <c r="H573" s="1">
        <v>5629.25</v>
      </c>
      <c r="I573" s="1">
        <v>245</v>
      </c>
      <c r="J573" s="1"/>
      <c r="L573" s="8">
        <v>90</v>
      </c>
      <c r="M573" s="16" t="s">
        <v>472</v>
      </c>
      <c r="N573" t="s">
        <v>584</v>
      </c>
      <c r="O573" t="s">
        <v>16</v>
      </c>
      <c r="R573" s="3">
        <v>1</v>
      </c>
      <c r="S573" t="s">
        <v>18</v>
      </c>
      <c r="T573" s="2">
        <v>411298.29</v>
      </c>
    </row>
    <row r="574" spans="1:20" hidden="1" x14ac:dyDescent="0.35">
      <c r="A574" s="20">
        <v>46014</v>
      </c>
      <c r="B574">
        <v>8137337200</v>
      </c>
      <c r="C574" t="s">
        <v>31</v>
      </c>
      <c r="H574" s="1">
        <v>12506.05</v>
      </c>
      <c r="I574" s="1">
        <v>327</v>
      </c>
      <c r="J574" s="1"/>
      <c r="L574" s="8">
        <v>90</v>
      </c>
      <c r="M574" s="16" t="s">
        <v>188</v>
      </c>
      <c r="N574" t="s">
        <v>584</v>
      </c>
      <c r="O574" t="s">
        <v>16</v>
      </c>
      <c r="R574" s="3">
        <v>1</v>
      </c>
      <c r="S574" t="s">
        <v>18</v>
      </c>
      <c r="T574" s="2">
        <v>411298.29</v>
      </c>
    </row>
    <row r="575" spans="1:20" hidden="1" x14ac:dyDescent="0.35">
      <c r="A575" s="20">
        <v>46014</v>
      </c>
      <c r="B575">
        <v>8137337377</v>
      </c>
      <c r="C575" t="s">
        <v>321</v>
      </c>
      <c r="H575" s="1">
        <v>1815.85</v>
      </c>
      <c r="I575" s="1">
        <v>79</v>
      </c>
      <c r="J575" s="1"/>
      <c r="L575" s="8">
        <v>90</v>
      </c>
      <c r="M575" s="16" t="s">
        <v>477</v>
      </c>
      <c r="N575" t="s">
        <v>584</v>
      </c>
      <c r="O575" t="s">
        <v>16</v>
      </c>
      <c r="R575" s="3">
        <v>1</v>
      </c>
      <c r="S575" t="s">
        <v>18</v>
      </c>
      <c r="T575" s="2">
        <v>411298.29</v>
      </c>
    </row>
    <row r="576" spans="1:20" hidden="1" x14ac:dyDescent="0.35">
      <c r="A576" s="20">
        <v>46014</v>
      </c>
      <c r="B576">
        <v>8137337394</v>
      </c>
      <c r="C576" t="s">
        <v>316</v>
      </c>
      <c r="H576" s="1">
        <v>2709</v>
      </c>
      <c r="I576" s="1">
        <v>52</v>
      </c>
      <c r="J576" s="1"/>
      <c r="L576" s="3">
        <v>90</v>
      </c>
      <c r="M576" s="16" t="s">
        <v>474</v>
      </c>
      <c r="N576" t="s">
        <v>584</v>
      </c>
      <c r="O576" t="s">
        <v>16</v>
      </c>
      <c r="R576" s="3">
        <v>1</v>
      </c>
      <c r="S576" t="s">
        <v>18</v>
      </c>
      <c r="T576" s="2">
        <v>411298.29</v>
      </c>
    </row>
    <row r="577" spans="1:20" hidden="1" x14ac:dyDescent="0.35">
      <c r="A577" s="20">
        <v>46014</v>
      </c>
      <c r="B577">
        <v>8137337435</v>
      </c>
      <c r="C577" t="s">
        <v>427</v>
      </c>
      <c r="H577" s="1">
        <v>5142.8999999999996</v>
      </c>
      <c r="I577" s="1">
        <v>98</v>
      </c>
      <c r="J577" s="1"/>
      <c r="L577" s="3">
        <v>90</v>
      </c>
      <c r="M577" s="17">
        <v>424349274765</v>
      </c>
      <c r="N577" t="s">
        <v>585</v>
      </c>
      <c r="O577" t="s">
        <v>16</v>
      </c>
      <c r="R577" s="3">
        <v>1</v>
      </c>
      <c r="S577" t="s">
        <v>18</v>
      </c>
      <c r="T577" s="2">
        <v>519844.76</v>
      </c>
    </row>
    <row r="578" spans="1:20" hidden="1" x14ac:dyDescent="0.35">
      <c r="A578" s="20">
        <v>46014</v>
      </c>
      <c r="B578">
        <v>8137337459</v>
      </c>
      <c r="C578" t="s">
        <v>316</v>
      </c>
      <c r="H578" s="1">
        <v>10332</v>
      </c>
      <c r="I578" s="1">
        <v>197</v>
      </c>
      <c r="J578" s="1"/>
      <c r="L578" s="3">
        <v>90</v>
      </c>
      <c r="M578" s="16" t="s">
        <v>474</v>
      </c>
      <c r="N578" t="s">
        <v>584</v>
      </c>
      <c r="O578" t="s">
        <v>16</v>
      </c>
      <c r="R578" s="3">
        <v>1</v>
      </c>
      <c r="S578" t="s">
        <v>18</v>
      </c>
      <c r="T578" s="2">
        <v>411298.29</v>
      </c>
    </row>
    <row r="579" spans="1:20" hidden="1" x14ac:dyDescent="0.35">
      <c r="A579" s="20">
        <v>46014</v>
      </c>
      <c r="B579">
        <v>8137337460</v>
      </c>
      <c r="C579" t="s">
        <v>318</v>
      </c>
      <c r="H579" s="1">
        <v>4116</v>
      </c>
      <c r="I579" s="1">
        <v>78</v>
      </c>
      <c r="J579" s="1"/>
      <c r="L579" s="3">
        <v>90</v>
      </c>
      <c r="M579" s="16" t="s">
        <v>476</v>
      </c>
      <c r="N579" t="s">
        <v>584</v>
      </c>
      <c r="O579" t="s">
        <v>16</v>
      </c>
      <c r="R579" s="3">
        <v>1</v>
      </c>
      <c r="S579" t="s">
        <v>18</v>
      </c>
      <c r="T579" s="2">
        <v>411298.29</v>
      </c>
    </row>
    <row r="580" spans="1:20" hidden="1" x14ac:dyDescent="0.35">
      <c r="A580" s="20">
        <v>46015</v>
      </c>
      <c r="B580">
        <v>8137340870</v>
      </c>
      <c r="C580" t="s">
        <v>337</v>
      </c>
      <c r="H580" s="1">
        <v>33426.800000000003</v>
      </c>
      <c r="I580" s="1">
        <v>1032</v>
      </c>
      <c r="J580" s="1"/>
      <c r="L580" s="8">
        <v>90</v>
      </c>
      <c r="M580" s="16" t="s">
        <v>492</v>
      </c>
      <c r="N580" t="s">
        <v>585</v>
      </c>
      <c r="O580" t="s">
        <v>16</v>
      </c>
      <c r="R580" s="3">
        <v>1</v>
      </c>
      <c r="S580" t="s">
        <v>18</v>
      </c>
      <c r="T580" s="2">
        <v>519844.76</v>
      </c>
    </row>
    <row r="581" spans="1:20" hidden="1" x14ac:dyDescent="0.35">
      <c r="A581" s="20">
        <v>46015</v>
      </c>
      <c r="B581">
        <v>8137340882</v>
      </c>
      <c r="C581" t="s">
        <v>50</v>
      </c>
      <c r="H581" s="1">
        <v>22288.3</v>
      </c>
      <c r="I581" s="1">
        <v>722</v>
      </c>
      <c r="J581" s="1"/>
      <c r="L581" s="8">
        <v>90</v>
      </c>
      <c r="M581" s="16" t="s">
        <v>199</v>
      </c>
      <c r="N581" t="s">
        <v>585</v>
      </c>
      <c r="O581" t="s">
        <v>16</v>
      </c>
      <c r="R581" s="3">
        <v>1</v>
      </c>
      <c r="S581" t="s">
        <v>18</v>
      </c>
      <c r="T581" s="2">
        <v>519844.76</v>
      </c>
    </row>
    <row r="582" spans="1:20" hidden="1" x14ac:dyDescent="0.35">
      <c r="A582" s="20">
        <v>46019</v>
      </c>
      <c r="B582">
        <v>8137341431</v>
      </c>
      <c r="C582" t="s">
        <v>442</v>
      </c>
      <c r="H582" s="1">
        <v>27908.370000000003</v>
      </c>
      <c r="I582" s="1">
        <v>531.59</v>
      </c>
      <c r="J582" s="1"/>
      <c r="L582" s="3">
        <v>90</v>
      </c>
      <c r="M582" s="16" t="s">
        <v>568</v>
      </c>
      <c r="N582" t="s">
        <v>585</v>
      </c>
      <c r="O582" t="s">
        <v>16</v>
      </c>
      <c r="R582" s="3">
        <v>1</v>
      </c>
      <c r="S582" t="s">
        <v>18</v>
      </c>
      <c r="T582" s="2">
        <v>519844.76</v>
      </c>
    </row>
    <row r="583" spans="1:20" hidden="1" x14ac:dyDescent="0.35">
      <c r="A583" s="20">
        <v>46019</v>
      </c>
      <c r="B583">
        <v>8137341712</v>
      </c>
      <c r="C583" t="s">
        <v>353</v>
      </c>
      <c r="H583" s="1">
        <v>159421.5</v>
      </c>
      <c r="I583" s="1">
        <v>3037</v>
      </c>
      <c r="J583" s="1"/>
      <c r="L583" s="3">
        <v>90</v>
      </c>
      <c r="M583" s="16" t="s">
        <v>499</v>
      </c>
      <c r="N583" t="s">
        <v>585</v>
      </c>
      <c r="O583" t="s">
        <v>16</v>
      </c>
      <c r="R583" s="3">
        <v>1</v>
      </c>
      <c r="S583" t="s">
        <v>18</v>
      </c>
      <c r="T583" s="2">
        <v>519844.76</v>
      </c>
    </row>
    <row r="584" spans="1:20" hidden="1" x14ac:dyDescent="0.35">
      <c r="A584" s="20">
        <v>46019</v>
      </c>
      <c r="B584">
        <v>8137341894</v>
      </c>
      <c r="C584" t="s">
        <v>44</v>
      </c>
      <c r="H584" s="1">
        <v>56895.1</v>
      </c>
      <c r="I584" s="1">
        <v>2474</v>
      </c>
      <c r="J584" s="1"/>
      <c r="L584" s="8">
        <v>90</v>
      </c>
      <c r="M584" s="17">
        <v>291446930017</v>
      </c>
      <c r="N584" t="s">
        <v>584</v>
      </c>
      <c r="O584" t="s">
        <v>16</v>
      </c>
      <c r="R584" s="3">
        <v>1</v>
      </c>
      <c r="S584" t="s">
        <v>18</v>
      </c>
      <c r="T584" s="2">
        <v>411298.29</v>
      </c>
    </row>
    <row r="585" spans="1:20" hidden="1" x14ac:dyDescent="0.35">
      <c r="A585" s="20">
        <v>46019</v>
      </c>
      <c r="B585">
        <v>8137341903</v>
      </c>
      <c r="C585" t="s">
        <v>42</v>
      </c>
      <c r="H585" s="1">
        <v>113304.9</v>
      </c>
      <c r="I585" s="1">
        <v>4926</v>
      </c>
      <c r="J585" s="1"/>
      <c r="L585" s="8">
        <v>90</v>
      </c>
      <c r="M585" s="17">
        <v>625452767841</v>
      </c>
      <c r="N585" t="s">
        <v>584</v>
      </c>
      <c r="O585" t="s">
        <v>16</v>
      </c>
      <c r="R585" s="3">
        <v>1</v>
      </c>
      <c r="S585" t="s">
        <v>18</v>
      </c>
      <c r="T585" s="2">
        <v>411298.29</v>
      </c>
    </row>
    <row r="586" spans="1:20" hidden="1" x14ac:dyDescent="0.35">
      <c r="A586" s="20">
        <v>46019</v>
      </c>
      <c r="B586">
        <v>8137341905</v>
      </c>
      <c r="C586" t="s">
        <v>320</v>
      </c>
      <c r="H586" s="1">
        <v>110158.5</v>
      </c>
      <c r="I586" s="1">
        <v>4790</v>
      </c>
      <c r="J586" s="1"/>
      <c r="L586" s="8">
        <v>90</v>
      </c>
      <c r="M586" s="17">
        <v>234433547094</v>
      </c>
      <c r="N586" t="s">
        <v>584</v>
      </c>
      <c r="O586" t="s">
        <v>16</v>
      </c>
      <c r="R586" s="3">
        <v>1</v>
      </c>
      <c r="S586" t="s">
        <v>18</v>
      </c>
      <c r="T586" s="2">
        <v>411298.29</v>
      </c>
    </row>
    <row r="587" spans="1:20" hidden="1" x14ac:dyDescent="0.35">
      <c r="A587" s="20">
        <v>46019</v>
      </c>
      <c r="B587">
        <v>8137341906</v>
      </c>
      <c r="C587" t="s">
        <v>41</v>
      </c>
      <c r="H587" s="1">
        <v>103385</v>
      </c>
      <c r="I587" s="1">
        <v>4495</v>
      </c>
      <c r="J587" s="1"/>
      <c r="L587" s="8">
        <v>90</v>
      </c>
      <c r="M587" s="16" t="s">
        <v>194</v>
      </c>
      <c r="N587" t="s">
        <v>584</v>
      </c>
      <c r="O587" t="s">
        <v>16</v>
      </c>
      <c r="R587" s="3">
        <v>1</v>
      </c>
      <c r="S587" t="s">
        <v>18</v>
      </c>
      <c r="T587" s="2">
        <v>411298.29</v>
      </c>
    </row>
    <row r="588" spans="1:20" hidden="1" x14ac:dyDescent="0.35">
      <c r="A588" s="20">
        <v>46019</v>
      </c>
      <c r="B588">
        <v>8137341907</v>
      </c>
      <c r="C588" t="s">
        <v>319</v>
      </c>
      <c r="H588" s="1">
        <v>55684.15</v>
      </c>
      <c r="I588" s="1">
        <v>2421</v>
      </c>
      <c r="J588" s="1"/>
      <c r="L588" s="8">
        <v>90</v>
      </c>
      <c r="M588" s="17">
        <v>773259640141</v>
      </c>
      <c r="N588" t="s">
        <v>585</v>
      </c>
      <c r="O588" t="s">
        <v>16</v>
      </c>
      <c r="R588" s="3">
        <v>1</v>
      </c>
      <c r="S588" t="s">
        <v>18</v>
      </c>
      <c r="T588" s="2">
        <v>519844.76</v>
      </c>
    </row>
    <row r="589" spans="1:20" hidden="1" x14ac:dyDescent="0.35">
      <c r="A589" s="20">
        <v>46019</v>
      </c>
      <c r="B589">
        <v>8137342008</v>
      </c>
      <c r="C589" t="s">
        <v>408</v>
      </c>
      <c r="H589" s="1">
        <v>41502.300000000003</v>
      </c>
      <c r="I589" s="1">
        <v>791</v>
      </c>
      <c r="J589" s="1"/>
      <c r="L589" s="3">
        <v>90</v>
      </c>
      <c r="M589" s="17" t="s">
        <v>543</v>
      </c>
      <c r="N589" t="s">
        <v>585</v>
      </c>
      <c r="O589" t="s">
        <v>16</v>
      </c>
      <c r="R589" s="3">
        <v>1</v>
      </c>
      <c r="S589" t="s">
        <v>18</v>
      </c>
      <c r="T589" s="2">
        <v>519844.76</v>
      </c>
    </row>
    <row r="590" spans="1:20" hidden="1" x14ac:dyDescent="0.35">
      <c r="A590" s="20">
        <v>46019</v>
      </c>
      <c r="B590">
        <v>8137342227</v>
      </c>
      <c r="C590" t="s">
        <v>452</v>
      </c>
      <c r="H590" s="1">
        <v>237475</v>
      </c>
      <c r="I590" s="1">
        <v>10325</v>
      </c>
      <c r="J590" s="1"/>
      <c r="L590" s="8">
        <v>90</v>
      </c>
      <c r="M590" s="17">
        <v>271565869690</v>
      </c>
      <c r="N590" t="s">
        <v>585</v>
      </c>
      <c r="O590" t="s">
        <v>16</v>
      </c>
      <c r="R590" s="3">
        <v>1</v>
      </c>
      <c r="S590" t="s">
        <v>18</v>
      </c>
      <c r="T590" s="2">
        <v>519844.76</v>
      </c>
    </row>
    <row r="591" spans="1:20" hidden="1" x14ac:dyDescent="0.35">
      <c r="A591" s="20">
        <v>46019</v>
      </c>
      <c r="B591">
        <v>8137342228</v>
      </c>
      <c r="C591" t="s">
        <v>453</v>
      </c>
      <c r="H591" s="1">
        <v>114042.05</v>
      </c>
      <c r="I591" s="1">
        <v>4958</v>
      </c>
      <c r="J591" s="1"/>
      <c r="L591" s="8">
        <v>90</v>
      </c>
      <c r="M591" s="17">
        <v>331100734385</v>
      </c>
      <c r="N591" t="s">
        <v>585</v>
      </c>
      <c r="O591" t="s">
        <v>16</v>
      </c>
      <c r="R591" s="3">
        <v>1</v>
      </c>
      <c r="S591" t="s">
        <v>18</v>
      </c>
      <c r="T591" s="2">
        <v>519844.76</v>
      </c>
    </row>
    <row r="592" spans="1:20" hidden="1" x14ac:dyDescent="0.35">
      <c r="A592" s="20">
        <v>46019</v>
      </c>
      <c r="B592">
        <v>8137342230</v>
      </c>
      <c r="C592" t="s">
        <v>446</v>
      </c>
      <c r="H592" s="1">
        <v>40250</v>
      </c>
      <c r="I592" s="1">
        <v>1750</v>
      </c>
      <c r="J592" s="1"/>
      <c r="L592" s="8">
        <v>90</v>
      </c>
      <c r="M592" s="17">
        <v>746165187801</v>
      </c>
      <c r="N592" t="s">
        <v>585</v>
      </c>
      <c r="O592" t="s">
        <v>16</v>
      </c>
      <c r="R592" s="3">
        <v>1</v>
      </c>
      <c r="S592" t="s">
        <v>18</v>
      </c>
      <c r="T592" s="2">
        <v>519844.76</v>
      </c>
    </row>
    <row r="593" spans="1:20" hidden="1" x14ac:dyDescent="0.35">
      <c r="A593" s="20">
        <v>46019</v>
      </c>
      <c r="B593">
        <v>8137342232</v>
      </c>
      <c r="C593" t="s">
        <v>454</v>
      </c>
      <c r="H593" s="1">
        <v>197225</v>
      </c>
      <c r="I593" s="1">
        <v>8575</v>
      </c>
      <c r="J593" s="1"/>
      <c r="L593" s="8">
        <v>90</v>
      </c>
      <c r="M593" s="17">
        <v>693677885444</v>
      </c>
      <c r="N593" t="s">
        <v>585</v>
      </c>
      <c r="O593" t="s">
        <v>16</v>
      </c>
      <c r="R593" s="3">
        <v>1</v>
      </c>
      <c r="S593" t="s">
        <v>18</v>
      </c>
      <c r="T593" s="2">
        <v>519844.76</v>
      </c>
    </row>
    <row r="594" spans="1:20" hidden="1" x14ac:dyDescent="0.35">
      <c r="A594" s="20">
        <v>46019</v>
      </c>
      <c r="B594">
        <v>8137342233</v>
      </c>
      <c r="C594" t="s">
        <v>455</v>
      </c>
      <c r="H594" s="1">
        <v>52900</v>
      </c>
      <c r="I594" s="1">
        <v>2300</v>
      </c>
      <c r="J594" s="1"/>
      <c r="L594" s="8">
        <v>90</v>
      </c>
      <c r="M594" s="17">
        <v>751621747070</v>
      </c>
      <c r="N594" t="s">
        <v>585</v>
      </c>
      <c r="O594" t="s">
        <v>16</v>
      </c>
      <c r="R594" s="3">
        <v>1</v>
      </c>
      <c r="S594" t="s">
        <v>18</v>
      </c>
      <c r="T594" s="2">
        <v>519844.76</v>
      </c>
    </row>
    <row r="595" spans="1:20" hidden="1" x14ac:dyDescent="0.35">
      <c r="A595" s="20">
        <v>46019</v>
      </c>
      <c r="B595">
        <v>8137342234</v>
      </c>
      <c r="C595" t="s">
        <v>456</v>
      </c>
      <c r="H595" s="1">
        <v>38907.949999999997</v>
      </c>
      <c r="I595" s="1">
        <v>1691.65</v>
      </c>
      <c r="J595" s="1"/>
      <c r="L595" s="8">
        <v>90</v>
      </c>
      <c r="M595" s="17">
        <v>186280992440</v>
      </c>
      <c r="N595" t="s">
        <v>585</v>
      </c>
      <c r="O595" t="s">
        <v>16</v>
      </c>
      <c r="R595" s="3">
        <v>1</v>
      </c>
      <c r="S595" t="s">
        <v>18</v>
      </c>
      <c r="T595" s="2">
        <v>519844.76</v>
      </c>
    </row>
    <row r="596" spans="1:20" hidden="1" x14ac:dyDescent="0.35">
      <c r="A596" s="20">
        <v>46019</v>
      </c>
      <c r="B596">
        <v>8137342242</v>
      </c>
      <c r="C596" t="s">
        <v>325</v>
      </c>
      <c r="H596" s="1">
        <v>2292.86</v>
      </c>
      <c r="I596" s="1">
        <v>43.67</v>
      </c>
      <c r="J596" s="1"/>
      <c r="L596" s="3">
        <v>90</v>
      </c>
      <c r="M596" s="16" t="s">
        <v>481</v>
      </c>
      <c r="N596" t="s">
        <v>585</v>
      </c>
      <c r="O596" t="s">
        <v>16</v>
      </c>
      <c r="R596" s="3">
        <v>1</v>
      </c>
      <c r="S596" t="s">
        <v>18</v>
      </c>
      <c r="T596" s="2">
        <v>519844.76</v>
      </c>
    </row>
    <row r="597" spans="1:20" hidden="1" x14ac:dyDescent="0.35">
      <c r="A597" s="20">
        <v>46019</v>
      </c>
      <c r="B597">
        <v>8137342244</v>
      </c>
      <c r="C597" t="s">
        <v>379</v>
      </c>
      <c r="H597" s="1">
        <v>3300.01</v>
      </c>
      <c r="I597" s="1">
        <v>62.86</v>
      </c>
      <c r="J597" s="1"/>
      <c r="L597" s="3">
        <v>90</v>
      </c>
      <c r="M597" s="16" t="s">
        <v>517</v>
      </c>
      <c r="N597" t="s">
        <v>585</v>
      </c>
      <c r="O597" t="s">
        <v>16</v>
      </c>
      <c r="R597" s="3">
        <v>1</v>
      </c>
      <c r="S597" t="s">
        <v>18</v>
      </c>
      <c r="T597" s="2">
        <v>519844.76</v>
      </c>
    </row>
    <row r="598" spans="1:20" hidden="1" x14ac:dyDescent="0.35">
      <c r="A598" s="20">
        <v>46019</v>
      </c>
      <c r="B598">
        <v>8137342247</v>
      </c>
      <c r="C598" t="s">
        <v>314</v>
      </c>
      <c r="H598" s="1">
        <v>3752.45</v>
      </c>
      <c r="I598" s="1">
        <v>163</v>
      </c>
      <c r="J598" s="1"/>
      <c r="L598" s="8">
        <v>90</v>
      </c>
      <c r="M598" s="16" t="s">
        <v>472</v>
      </c>
      <c r="N598" t="s">
        <v>584</v>
      </c>
      <c r="O598" t="s">
        <v>16</v>
      </c>
      <c r="R598" s="3">
        <v>1</v>
      </c>
      <c r="S598" t="s">
        <v>18</v>
      </c>
      <c r="T598" s="2">
        <v>411298.29</v>
      </c>
    </row>
    <row r="599" spans="1:20" hidden="1" x14ac:dyDescent="0.35">
      <c r="A599" s="20">
        <v>46019</v>
      </c>
      <c r="B599">
        <v>8137342249</v>
      </c>
      <c r="C599" t="s">
        <v>31</v>
      </c>
      <c r="H599" s="1">
        <v>3752.45</v>
      </c>
      <c r="I599" s="1">
        <v>163</v>
      </c>
      <c r="J599" s="1"/>
      <c r="L599" s="8">
        <v>90</v>
      </c>
      <c r="M599" s="16" t="s">
        <v>188</v>
      </c>
      <c r="N599" t="s">
        <v>584</v>
      </c>
      <c r="O599" t="s">
        <v>16</v>
      </c>
      <c r="R599" s="3">
        <v>1</v>
      </c>
      <c r="S599" t="s">
        <v>18</v>
      </c>
      <c r="T599" s="2">
        <v>411298.29</v>
      </c>
    </row>
    <row r="600" spans="1:20" hidden="1" x14ac:dyDescent="0.35">
      <c r="A600" s="20">
        <v>46019</v>
      </c>
      <c r="B600">
        <v>8137342250</v>
      </c>
      <c r="C600" t="s">
        <v>313</v>
      </c>
      <c r="H600" s="1">
        <v>17854.900000000001</v>
      </c>
      <c r="I600" s="1">
        <v>776</v>
      </c>
      <c r="J600" s="1"/>
      <c r="L600" s="8">
        <v>90</v>
      </c>
      <c r="M600" s="16" t="s">
        <v>295</v>
      </c>
      <c r="N600" t="s">
        <v>585</v>
      </c>
      <c r="O600" t="s">
        <v>16</v>
      </c>
      <c r="R600" s="3">
        <v>1</v>
      </c>
      <c r="S600" t="s">
        <v>18</v>
      </c>
      <c r="T600" s="2">
        <v>519844.76</v>
      </c>
    </row>
    <row r="601" spans="1:20" hidden="1" x14ac:dyDescent="0.35">
      <c r="A601" s="20">
        <v>46019</v>
      </c>
      <c r="B601">
        <v>8137342251</v>
      </c>
      <c r="C601" t="s">
        <v>412</v>
      </c>
      <c r="H601" s="1">
        <v>3752.45</v>
      </c>
      <c r="I601" s="1">
        <v>163</v>
      </c>
      <c r="J601" s="1"/>
      <c r="L601" s="8">
        <v>90</v>
      </c>
      <c r="M601" s="16" t="s">
        <v>546</v>
      </c>
      <c r="N601" t="s">
        <v>585</v>
      </c>
      <c r="O601" t="s">
        <v>16</v>
      </c>
      <c r="R601" s="3">
        <v>1</v>
      </c>
      <c r="S601" t="s">
        <v>18</v>
      </c>
      <c r="T601" s="2">
        <v>519844.76</v>
      </c>
    </row>
    <row r="602" spans="1:20" hidden="1" x14ac:dyDescent="0.35">
      <c r="A602" s="20">
        <v>46019</v>
      </c>
      <c r="B602">
        <v>8137342298</v>
      </c>
      <c r="C602" t="s">
        <v>316</v>
      </c>
      <c r="H602" s="1">
        <v>2457</v>
      </c>
      <c r="I602" s="1">
        <v>47</v>
      </c>
      <c r="J602" s="1"/>
      <c r="L602" s="3">
        <v>90</v>
      </c>
      <c r="M602" s="16" t="s">
        <v>474</v>
      </c>
      <c r="N602" t="s">
        <v>584</v>
      </c>
      <c r="O602" t="s">
        <v>16</v>
      </c>
      <c r="R602" s="3">
        <v>1</v>
      </c>
      <c r="S602" t="s">
        <v>18</v>
      </c>
      <c r="T602" s="2">
        <v>411298.29</v>
      </c>
    </row>
    <row r="603" spans="1:20" hidden="1" x14ac:dyDescent="0.35">
      <c r="A603" s="20">
        <v>46019</v>
      </c>
      <c r="B603">
        <v>8137342300</v>
      </c>
      <c r="C603" t="s">
        <v>318</v>
      </c>
      <c r="H603" s="1">
        <v>3528</v>
      </c>
      <c r="I603" s="1">
        <v>67</v>
      </c>
      <c r="J603" s="1"/>
      <c r="L603" s="3">
        <v>90</v>
      </c>
      <c r="M603" s="16" t="s">
        <v>476</v>
      </c>
      <c r="N603" t="s">
        <v>584</v>
      </c>
      <c r="O603" t="s">
        <v>16</v>
      </c>
      <c r="R603" s="3">
        <v>1</v>
      </c>
      <c r="S603" t="s">
        <v>18</v>
      </c>
      <c r="T603" s="2">
        <v>411298.29</v>
      </c>
    </row>
    <row r="604" spans="1:20" hidden="1" x14ac:dyDescent="0.35">
      <c r="A604" s="20">
        <v>46019</v>
      </c>
      <c r="B604">
        <v>8137342345</v>
      </c>
      <c r="C604" t="s">
        <v>325</v>
      </c>
      <c r="H604" s="1">
        <v>2871.4300000000003</v>
      </c>
      <c r="I604" s="1">
        <v>54.69</v>
      </c>
      <c r="J604" s="1"/>
      <c r="L604" s="3">
        <v>90</v>
      </c>
      <c r="M604" s="16" t="s">
        <v>481</v>
      </c>
      <c r="N604" t="s">
        <v>585</v>
      </c>
      <c r="O604" t="s">
        <v>16</v>
      </c>
      <c r="R604" s="3">
        <v>1</v>
      </c>
      <c r="S604" t="s">
        <v>18</v>
      </c>
      <c r="T604" s="2">
        <v>519844.76</v>
      </c>
    </row>
    <row r="605" spans="1:20" hidden="1" x14ac:dyDescent="0.35">
      <c r="A605" s="20">
        <v>46019</v>
      </c>
      <c r="B605">
        <v>8137342358</v>
      </c>
      <c r="C605" t="s">
        <v>325</v>
      </c>
      <c r="H605" s="1">
        <v>12144.65</v>
      </c>
      <c r="I605" s="1">
        <v>231.33</v>
      </c>
      <c r="J605" s="1"/>
      <c r="L605" s="3">
        <v>90</v>
      </c>
      <c r="M605" s="16" t="s">
        <v>481</v>
      </c>
      <c r="N605" t="s">
        <v>585</v>
      </c>
      <c r="O605" t="s">
        <v>16</v>
      </c>
      <c r="R605" s="3">
        <v>1</v>
      </c>
      <c r="S605" t="s">
        <v>18</v>
      </c>
      <c r="T605" s="2">
        <v>519844.76</v>
      </c>
    </row>
    <row r="606" spans="1:20" hidden="1" x14ac:dyDescent="0.35">
      <c r="A606" s="20">
        <v>46020</v>
      </c>
      <c r="B606">
        <v>8137342915</v>
      </c>
      <c r="C606" t="s">
        <v>86</v>
      </c>
      <c r="H606" s="1">
        <v>289437.75</v>
      </c>
      <c r="I606" s="1">
        <v>12584.25</v>
      </c>
      <c r="J606" s="1"/>
      <c r="L606" s="8">
        <v>90</v>
      </c>
      <c r="M606" s="16" t="s">
        <v>215</v>
      </c>
      <c r="N606" t="s">
        <v>585</v>
      </c>
      <c r="O606" t="s">
        <v>16</v>
      </c>
      <c r="R606" s="3">
        <v>1</v>
      </c>
      <c r="S606" t="s">
        <v>18</v>
      </c>
      <c r="T606" s="2">
        <v>519844.76</v>
      </c>
    </row>
    <row r="607" spans="1:20" hidden="1" x14ac:dyDescent="0.35">
      <c r="A607" s="20">
        <v>46020</v>
      </c>
      <c r="B607">
        <v>8137342916</v>
      </c>
      <c r="C607" t="s">
        <v>457</v>
      </c>
      <c r="H607" s="1">
        <v>48300</v>
      </c>
      <c r="I607" s="1">
        <v>2100</v>
      </c>
      <c r="J607" s="1"/>
      <c r="L607" s="8">
        <v>90</v>
      </c>
      <c r="M607" s="16" t="s">
        <v>575</v>
      </c>
      <c r="N607" t="s">
        <v>585</v>
      </c>
      <c r="O607" t="s">
        <v>16</v>
      </c>
      <c r="R607" s="3">
        <v>1</v>
      </c>
      <c r="S607" t="s">
        <v>18</v>
      </c>
      <c r="T607" s="2">
        <v>519844.76</v>
      </c>
    </row>
    <row r="608" spans="1:20" hidden="1" x14ac:dyDescent="0.35">
      <c r="A608" s="20">
        <v>46020</v>
      </c>
      <c r="B608">
        <v>8137343024</v>
      </c>
      <c r="C608" t="s">
        <v>458</v>
      </c>
      <c r="H608" s="1">
        <v>46322</v>
      </c>
      <c r="I608" s="1">
        <v>2014</v>
      </c>
      <c r="J608" s="1"/>
      <c r="L608" s="8">
        <v>90</v>
      </c>
      <c r="M608" s="16" t="s">
        <v>576</v>
      </c>
      <c r="N608" t="s">
        <v>584</v>
      </c>
      <c r="O608" t="s">
        <v>16</v>
      </c>
      <c r="R608" s="3">
        <v>1</v>
      </c>
      <c r="S608" t="s">
        <v>18</v>
      </c>
      <c r="T608" s="2">
        <v>411298.29</v>
      </c>
    </row>
    <row r="609" spans="1:20" hidden="1" x14ac:dyDescent="0.35">
      <c r="A609" s="20">
        <v>46020</v>
      </c>
      <c r="B609">
        <v>8137343025</v>
      </c>
      <c r="C609" t="s">
        <v>459</v>
      </c>
      <c r="H609" s="1">
        <v>50841.5</v>
      </c>
      <c r="I609" s="1">
        <v>2211</v>
      </c>
      <c r="J609" s="1"/>
      <c r="L609" s="8">
        <v>90</v>
      </c>
      <c r="M609" s="16" t="s">
        <v>577</v>
      </c>
      <c r="N609" t="s">
        <v>584</v>
      </c>
      <c r="O609" t="s">
        <v>16</v>
      </c>
      <c r="R609" s="3">
        <v>1</v>
      </c>
      <c r="S609" t="s">
        <v>18</v>
      </c>
      <c r="T609" s="2">
        <v>411298.29</v>
      </c>
    </row>
    <row r="610" spans="1:20" hidden="1" x14ac:dyDescent="0.35">
      <c r="A610" s="20">
        <v>46020</v>
      </c>
      <c r="B610">
        <v>8137343028</v>
      </c>
      <c r="C610" t="s">
        <v>460</v>
      </c>
      <c r="H610" s="1">
        <v>48420.75</v>
      </c>
      <c r="I610" s="1">
        <v>2105</v>
      </c>
      <c r="J610" s="1"/>
      <c r="L610" s="8">
        <v>90</v>
      </c>
      <c r="M610" s="16" t="s">
        <v>578</v>
      </c>
      <c r="N610" t="s">
        <v>585</v>
      </c>
      <c r="O610" t="s">
        <v>16</v>
      </c>
      <c r="R610" s="3">
        <v>1</v>
      </c>
      <c r="S610" t="s">
        <v>18</v>
      </c>
      <c r="T610" s="2">
        <v>519844.76</v>
      </c>
    </row>
    <row r="611" spans="1:20" hidden="1" x14ac:dyDescent="0.35">
      <c r="A611" s="20">
        <v>46020</v>
      </c>
      <c r="B611">
        <v>8137343032</v>
      </c>
      <c r="C611" t="s">
        <v>461</v>
      </c>
      <c r="H611" s="1">
        <v>39947.550000000003</v>
      </c>
      <c r="I611" s="1">
        <v>1737</v>
      </c>
      <c r="J611" s="1"/>
      <c r="L611" s="8">
        <v>90</v>
      </c>
      <c r="M611" s="16" t="s">
        <v>579</v>
      </c>
      <c r="N611" t="s">
        <v>585</v>
      </c>
      <c r="O611" t="s">
        <v>16</v>
      </c>
      <c r="R611" s="3">
        <v>1</v>
      </c>
      <c r="S611" t="s">
        <v>18</v>
      </c>
      <c r="T611" s="2">
        <v>519844.76</v>
      </c>
    </row>
    <row r="612" spans="1:20" hidden="1" x14ac:dyDescent="0.35">
      <c r="A612" s="20">
        <v>46020</v>
      </c>
      <c r="B612">
        <v>8137343037</v>
      </c>
      <c r="C612" t="s">
        <v>93</v>
      </c>
      <c r="H612" s="1">
        <v>171531.7</v>
      </c>
      <c r="I612" s="1">
        <v>7458</v>
      </c>
      <c r="J612" s="1"/>
      <c r="L612" s="8">
        <v>90</v>
      </c>
      <c r="M612" s="16" t="s">
        <v>217</v>
      </c>
      <c r="N612" t="s">
        <v>585</v>
      </c>
      <c r="O612" t="s">
        <v>16</v>
      </c>
      <c r="R612" s="3">
        <v>1</v>
      </c>
      <c r="S612" t="s">
        <v>18</v>
      </c>
      <c r="T612" s="2">
        <v>519844.76</v>
      </c>
    </row>
    <row r="613" spans="1:20" hidden="1" x14ac:dyDescent="0.35">
      <c r="A613" s="20">
        <v>46020</v>
      </c>
      <c r="B613">
        <v>8137343040</v>
      </c>
      <c r="C613" t="s">
        <v>317</v>
      </c>
      <c r="H613" s="1">
        <v>191460.05</v>
      </c>
      <c r="I613" s="1">
        <v>8324</v>
      </c>
      <c r="J613" s="1"/>
      <c r="L613" s="8">
        <v>90</v>
      </c>
      <c r="M613" s="17" t="s">
        <v>475</v>
      </c>
      <c r="N613" t="s">
        <v>585</v>
      </c>
      <c r="O613" t="s">
        <v>16</v>
      </c>
      <c r="R613" s="3">
        <v>1</v>
      </c>
      <c r="S613" t="s">
        <v>18</v>
      </c>
      <c r="T613" s="2">
        <v>519844.76</v>
      </c>
    </row>
    <row r="614" spans="1:20" hidden="1" x14ac:dyDescent="0.35">
      <c r="A614" s="20">
        <v>46020</v>
      </c>
      <c r="B614">
        <v>8137343054</v>
      </c>
      <c r="C614" t="s">
        <v>462</v>
      </c>
      <c r="H614" s="1">
        <v>99263.4</v>
      </c>
      <c r="I614" s="1">
        <v>4316</v>
      </c>
      <c r="J614" s="1"/>
      <c r="L614" s="8">
        <v>90</v>
      </c>
      <c r="M614" s="16" t="s">
        <v>580</v>
      </c>
      <c r="N614" t="s">
        <v>584</v>
      </c>
      <c r="O614" t="s">
        <v>16</v>
      </c>
      <c r="R614" s="3">
        <v>1</v>
      </c>
      <c r="S614" t="s">
        <v>18</v>
      </c>
      <c r="T614" s="2">
        <v>411298.29</v>
      </c>
    </row>
    <row r="615" spans="1:20" hidden="1" x14ac:dyDescent="0.35">
      <c r="A615" s="20">
        <v>46020</v>
      </c>
      <c r="B615">
        <v>8137343076</v>
      </c>
      <c r="C615" t="s">
        <v>417</v>
      </c>
      <c r="H615" s="1">
        <v>22080</v>
      </c>
      <c r="I615" s="1">
        <v>960</v>
      </c>
      <c r="J615" s="1"/>
      <c r="L615" s="8">
        <v>90</v>
      </c>
      <c r="M615" s="17" t="s">
        <v>550</v>
      </c>
      <c r="N615" t="s">
        <v>585</v>
      </c>
      <c r="O615" t="s">
        <v>16</v>
      </c>
      <c r="R615" s="3">
        <v>1</v>
      </c>
      <c r="S615" t="s">
        <v>18</v>
      </c>
      <c r="T615" s="2">
        <v>519844.76</v>
      </c>
    </row>
    <row r="616" spans="1:20" hidden="1" x14ac:dyDescent="0.35">
      <c r="A616" s="20">
        <v>46020</v>
      </c>
      <c r="B616">
        <v>8137343313</v>
      </c>
      <c r="C616" t="s">
        <v>366</v>
      </c>
      <c r="H616" s="1">
        <v>29998.5</v>
      </c>
      <c r="I616" s="1">
        <v>571.4</v>
      </c>
      <c r="J616" s="1"/>
      <c r="L616" s="3">
        <v>90</v>
      </c>
      <c r="M616" s="17">
        <v>196216386173</v>
      </c>
      <c r="N616" t="s">
        <v>584</v>
      </c>
      <c r="O616" t="s">
        <v>16</v>
      </c>
      <c r="R616" s="3">
        <v>1</v>
      </c>
      <c r="S616" t="s">
        <v>18</v>
      </c>
      <c r="T616" s="2">
        <v>411298.29</v>
      </c>
    </row>
    <row r="617" spans="1:20" hidden="1" x14ac:dyDescent="0.35">
      <c r="A617" s="20">
        <v>46020</v>
      </c>
      <c r="B617">
        <v>8137343403</v>
      </c>
      <c r="C617" t="s">
        <v>379</v>
      </c>
      <c r="H617" s="1">
        <v>1328.58</v>
      </c>
      <c r="I617" s="1">
        <v>25.31</v>
      </c>
      <c r="J617" s="1"/>
      <c r="L617" s="3">
        <v>90</v>
      </c>
      <c r="M617" s="16" t="s">
        <v>517</v>
      </c>
      <c r="N617" t="s">
        <v>585</v>
      </c>
      <c r="O617" t="s">
        <v>16</v>
      </c>
      <c r="R617" s="3">
        <v>1</v>
      </c>
      <c r="S617" t="s">
        <v>18</v>
      </c>
      <c r="T617" s="2">
        <v>519844.76</v>
      </c>
    </row>
    <row r="618" spans="1:20" hidden="1" x14ac:dyDescent="0.35">
      <c r="A618" s="20">
        <v>46020</v>
      </c>
      <c r="B618">
        <v>8137343405</v>
      </c>
      <c r="C618" t="s">
        <v>326</v>
      </c>
      <c r="H618" s="1">
        <v>26631.7</v>
      </c>
      <c r="I618" s="1">
        <v>1158</v>
      </c>
      <c r="J618" s="1"/>
      <c r="L618" s="8">
        <v>90</v>
      </c>
      <c r="M618" s="16" t="s">
        <v>482</v>
      </c>
      <c r="N618" t="s">
        <v>585</v>
      </c>
      <c r="O618" t="s">
        <v>16</v>
      </c>
      <c r="R618" s="3">
        <v>1</v>
      </c>
      <c r="S618" t="s">
        <v>18</v>
      </c>
      <c r="T618" s="2">
        <v>519844.76</v>
      </c>
    </row>
    <row r="619" spans="1:20" hidden="1" x14ac:dyDescent="0.35">
      <c r="A619" s="20">
        <v>46020</v>
      </c>
      <c r="B619">
        <v>8137343406</v>
      </c>
      <c r="C619" t="s">
        <v>49</v>
      </c>
      <c r="H619" s="1">
        <v>17431.7</v>
      </c>
      <c r="I619" s="1">
        <v>758</v>
      </c>
      <c r="J619" s="1"/>
      <c r="L619" s="8">
        <v>90</v>
      </c>
      <c r="M619" s="16" t="s">
        <v>261</v>
      </c>
      <c r="N619" t="s">
        <v>584</v>
      </c>
      <c r="O619" t="s">
        <v>16</v>
      </c>
      <c r="R619" s="3">
        <v>1</v>
      </c>
      <c r="S619" t="s">
        <v>18</v>
      </c>
      <c r="T619" s="2">
        <v>411298.29</v>
      </c>
    </row>
    <row r="620" spans="1:20" hidden="1" x14ac:dyDescent="0.35">
      <c r="A620" s="20">
        <v>46020</v>
      </c>
      <c r="B620">
        <v>8137343518</v>
      </c>
      <c r="C620" t="s">
        <v>315</v>
      </c>
      <c r="H620" s="1">
        <v>13014.55</v>
      </c>
      <c r="I620" s="1">
        <v>566</v>
      </c>
      <c r="J620" s="1"/>
      <c r="L620" s="8">
        <v>90</v>
      </c>
      <c r="M620" s="16" t="s">
        <v>473</v>
      </c>
      <c r="N620" t="s">
        <v>585</v>
      </c>
      <c r="O620" t="s">
        <v>16</v>
      </c>
      <c r="R620" s="3">
        <v>1</v>
      </c>
      <c r="S620" t="s">
        <v>18</v>
      </c>
      <c r="T620" s="2">
        <v>519844.76</v>
      </c>
    </row>
    <row r="621" spans="1:20" hidden="1" x14ac:dyDescent="0.35">
      <c r="A621" s="20">
        <v>46020</v>
      </c>
      <c r="B621">
        <v>8137343521</v>
      </c>
      <c r="C621" t="s">
        <v>36</v>
      </c>
      <c r="H621" s="1">
        <v>100050</v>
      </c>
      <c r="I621" s="1">
        <v>4350</v>
      </c>
      <c r="J621" s="1"/>
      <c r="L621" s="8">
        <v>90</v>
      </c>
      <c r="M621" s="16" t="s">
        <v>260</v>
      </c>
      <c r="N621" t="s">
        <v>584</v>
      </c>
      <c r="O621" t="s">
        <v>16</v>
      </c>
      <c r="R621" s="3">
        <v>1</v>
      </c>
      <c r="S621" t="s">
        <v>18</v>
      </c>
      <c r="T621" s="2">
        <v>411298.29</v>
      </c>
    </row>
    <row r="622" spans="1:20" hidden="1" x14ac:dyDescent="0.35">
      <c r="A622" s="20">
        <v>46020</v>
      </c>
      <c r="B622">
        <v>8137343522</v>
      </c>
      <c r="C622" t="s">
        <v>37</v>
      </c>
      <c r="H622" s="1">
        <v>51750</v>
      </c>
      <c r="I622" s="1">
        <v>2250</v>
      </c>
      <c r="J622" s="1"/>
      <c r="L622" s="8">
        <v>90</v>
      </c>
      <c r="M622" s="16" t="s">
        <v>191</v>
      </c>
      <c r="N622" t="s">
        <v>584</v>
      </c>
      <c r="O622" t="s">
        <v>16</v>
      </c>
      <c r="R622" s="3">
        <v>1</v>
      </c>
      <c r="S622" t="s">
        <v>18</v>
      </c>
      <c r="T622" s="2">
        <v>411298.29</v>
      </c>
    </row>
    <row r="623" spans="1:20" hidden="1" x14ac:dyDescent="0.35">
      <c r="A623" s="20">
        <v>46020</v>
      </c>
      <c r="B623">
        <v>8137343523</v>
      </c>
      <c r="C623" t="s">
        <v>38</v>
      </c>
      <c r="H623" s="1">
        <v>47762.95</v>
      </c>
      <c r="I623" s="1">
        <v>2077</v>
      </c>
      <c r="J623" s="1"/>
      <c r="L623" s="8">
        <v>90</v>
      </c>
      <c r="M623" s="16" t="s">
        <v>192</v>
      </c>
      <c r="N623" t="s">
        <v>585</v>
      </c>
      <c r="O623" t="s">
        <v>16</v>
      </c>
      <c r="R623" s="3">
        <v>1</v>
      </c>
      <c r="S623" t="s">
        <v>18</v>
      </c>
      <c r="T623" s="2">
        <v>519844.76</v>
      </c>
    </row>
    <row r="624" spans="1:20" hidden="1" x14ac:dyDescent="0.35">
      <c r="A624" s="20">
        <v>46020</v>
      </c>
      <c r="B624">
        <v>8137343524</v>
      </c>
      <c r="C624" t="s">
        <v>316</v>
      </c>
      <c r="H624" s="1">
        <v>2520</v>
      </c>
      <c r="I624" s="1">
        <v>48</v>
      </c>
      <c r="J624" s="1"/>
      <c r="L624" s="3">
        <v>90</v>
      </c>
      <c r="M624" s="16" t="s">
        <v>474</v>
      </c>
      <c r="N624" t="s">
        <v>584</v>
      </c>
      <c r="O624" t="s">
        <v>16</v>
      </c>
      <c r="R624" s="3">
        <v>1</v>
      </c>
      <c r="S624" t="s">
        <v>18</v>
      </c>
      <c r="T624" s="2">
        <v>411298.29</v>
      </c>
    </row>
    <row r="625" spans="1:20" hidden="1" x14ac:dyDescent="0.35">
      <c r="A625" s="20">
        <v>46020</v>
      </c>
      <c r="B625">
        <v>8137343525</v>
      </c>
      <c r="C625" t="s">
        <v>317</v>
      </c>
      <c r="H625" s="1">
        <v>171966.95</v>
      </c>
      <c r="I625" s="1">
        <v>4447</v>
      </c>
      <c r="J625" s="1"/>
      <c r="L625" s="3">
        <v>90</v>
      </c>
      <c r="M625" s="17" t="s">
        <v>475</v>
      </c>
      <c r="N625" t="s">
        <v>585</v>
      </c>
      <c r="O625" t="s">
        <v>16</v>
      </c>
      <c r="R625" s="3">
        <v>1</v>
      </c>
      <c r="S625" t="s">
        <v>18</v>
      </c>
      <c r="T625" s="2">
        <v>519844.76</v>
      </c>
    </row>
    <row r="626" spans="1:20" hidden="1" x14ac:dyDescent="0.35">
      <c r="A626" s="20">
        <v>46020</v>
      </c>
      <c r="B626">
        <v>8137343526</v>
      </c>
      <c r="C626" t="s">
        <v>318</v>
      </c>
      <c r="H626" s="1">
        <v>5145</v>
      </c>
      <c r="I626" s="1">
        <v>98</v>
      </c>
      <c r="J626" s="1"/>
      <c r="L626" s="3">
        <v>90</v>
      </c>
      <c r="M626" s="16" t="s">
        <v>476</v>
      </c>
      <c r="N626" t="s">
        <v>584</v>
      </c>
      <c r="O626" t="s">
        <v>16</v>
      </c>
      <c r="R626" s="3">
        <v>1</v>
      </c>
      <c r="S626" t="s">
        <v>18</v>
      </c>
      <c r="T626" s="2">
        <v>411298.29</v>
      </c>
    </row>
    <row r="627" spans="1:20" hidden="1" x14ac:dyDescent="0.35">
      <c r="A627" s="20">
        <v>46020</v>
      </c>
      <c r="B627">
        <v>8137343542</v>
      </c>
      <c r="C627" t="s">
        <v>447</v>
      </c>
      <c r="H627" s="1">
        <v>31523</v>
      </c>
      <c r="I627" s="1">
        <v>935</v>
      </c>
      <c r="J627" s="1"/>
      <c r="L627" s="8">
        <v>90</v>
      </c>
      <c r="M627" s="17">
        <v>150789723096</v>
      </c>
      <c r="N627" t="s">
        <v>584</v>
      </c>
      <c r="O627" t="s">
        <v>16</v>
      </c>
      <c r="R627" s="3">
        <v>1</v>
      </c>
      <c r="S627" t="s">
        <v>18</v>
      </c>
      <c r="T627" s="2">
        <v>411298.29</v>
      </c>
    </row>
    <row r="628" spans="1:20" hidden="1" x14ac:dyDescent="0.35">
      <c r="A628" s="20">
        <v>46021</v>
      </c>
      <c r="B628">
        <v>8137343580</v>
      </c>
      <c r="C628" t="s">
        <v>91</v>
      </c>
      <c r="H628" s="1">
        <v>5750</v>
      </c>
      <c r="I628" s="1">
        <v>500</v>
      </c>
      <c r="J628" s="1"/>
      <c r="L628" s="8">
        <v>90</v>
      </c>
      <c r="M628" s="16" t="s">
        <v>276</v>
      </c>
      <c r="N628" t="s">
        <v>584</v>
      </c>
      <c r="O628" t="s">
        <v>16</v>
      </c>
      <c r="R628" s="3">
        <v>1</v>
      </c>
      <c r="S628" t="s">
        <v>18</v>
      </c>
      <c r="T628" s="2">
        <v>411298.29</v>
      </c>
    </row>
    <row r="629" spans="1:20" hidden="1" x14ac:dyDescent="0.35">
      <c r="A629" s="20">
        <v>46021</v>
      </c>
      <c r="B629">
        <v>8137343657</v>
      </c>
      <c r="C629" t="s">
        <v>337</v>
      </c>
      <c r="H629" s="1">
        <v>78755.850000000006</v>
      </c>
      <c r="I629" s="1">
        <v>2489</v>
      </c>
      <c r="J629" s="1"/>
      <c r="L629" s="8">
        <v>90</v>
      </c>
      <c r="M629" s="16" t="s">
        <v>492</v>
      </c>
      <c r="N629" t="s">
        <v>585</v>
      </c>
      <c r="O629" t="s">
        <v>16</v>
      </c>
      <c r="R629" s="3">
        <v>1</v>
      </c>
      <c r="S629" t="s">
        <v>18</v>
      </c>
      <c r="T629" s="2">
        <v>519844.76</v>
      </c>
    </row>
    <row r="630" spans="1:20" hidden="1" x14ac:dyDescent="0.35">
      <c r="A630" s="20">
        <v>46021</v>
      </c>
      <c r="B630">
        <v>8137343714</v>
      </c>
      <c r="C630" t="s">
        <v>463</v>
      </c>
      <c r="H630" s="1">
        <v>54461.7</v>
      </c>
      <c r="I630" s="1">
        <v>2368</v>
      </c>
      <c r="J630" s="1"/>
      <c r="L630" s="8">
        <v>90</v>
      </c>
      <c r="M630" s="16" t="s">
        <v>581</v>
      </c>
      <c r="N630" t="s">
        <v>584</v>
      </c>
      <c r="O630" t="s">
        <v>16</v>
      </c>
      <c r="R630" s="3">
        <v>1</v>
      </c>
      <c r="S630" t="s">
        <v>18</v>
      </c>
      <c r="T630" s="2">
        <v>411298.29</v>
      </c>
    </row>
    <row r="631" spans="1:20" hidden="1" x14ac:dyDescent="0.35">
      <c r="A631" s="20">
        <v>46021</v>
      </c>
      <c r="B631">
        <v>8137343715</v>
      </c>
      <c r="C631" t="s">
        <v>407</v>
      </c>
      <c r="H631" s="1">
        <v>193627.8</v>
      </c>
      <c r="I631" s="1">
        <v>8419</v>
      </c>
      <c r="J631" s="1"/>
      <c r="L631" s="8">
        <v>90</v>
      </c>
      <c r="M631" s="16" t="s">
        <v>542</v>
      </c>
      <c r="N631" t="s">
        <v>584</v>
      </c>
      <c r="O631" t="s">
        <v>16</v>
      </c>
      <c r="R631" s="3">
        <v>1</v>
      </c>
      <c r="S631" t="s">
        <v>18</v>
      </c>
      <c r="T631" s="2">
        <v>411298.29</v>
      </c>
    </row>
    <row r="632" spans="1:20" hidden="1" x14ac:dyDescent="0.35">
      <c r="A632" s="20">
        <v>46021</v>
      </c>
      <c r="B632">
        <v>8137343716</v>
      </c>
      <c r="C632" t="s">
        <v>464</v>
      </c>
      <c r="H632" s="1">
        <v>90224.4</v>
      </c>
      <c r="I632" s="1">
        <v>3923</v>
      </c>
      <c r="J632" s="1"/>
      <c r="L632" s="8">
        <v>90</v>
      </c>
      <c r="M632" s="17" t="s">
        <v>582</v>
      </c>
      <c r="N632" t="s">
        <v>585</v>
      </c>
      <c r="O632" t="s">
        <v>16</v>
      </c>
      <c r="R632" s="3">
        <v>1</v>
      </c>
      <c r="S632" t="s">
        <v>18</v>
      </c>
      <c r="T632" s="2">
        <v>519844.76</v>
      </c>
    </row>
    <row r="633" spans="1:20" hidden="1" x14ac:dyDescent="0.35">
      <c r="A633" s="20">
        <v>46021</v>
      </c>
      <c r="B633">
        <v>8137343717</v>
      </c>
      <c r="C633" t="s">
        <v>465</v>
      </c>
      <c r="H633" s="1">
        <v>44063.4</v>
      </c>
      <c r="I633" s="1">
        <v>1916</v>
      </c>
      <c r="J633" s="1"/>
      <c r="L633" s="8">
        <v>90</v>
      </c>
      <c r="M633" s="16" t="s">
        <v>583</v>
      </c>
      <c r="N633" t="s">
        <v>584</v>
      </c>
      <c r="O633" t="s">
        <v>16</v>
      </c>
      <c r="R633" s="3">
        <v>1</v>
      </c>
      <c r="S633" t="s">
        <v>18</v>
      </c>
      <c r="T633" s="2">
        <v>411298.29</v>
      </c>
    </row>
    <row r="634" spans="1:20" hidden="1" x14ac:dyDescent="0.35">
      <c r="A634" s="20">
        <v>46021</v>
      </c>
      <c r="B634">
        <v>8137343722</v>
      </c>
      <c r="C634" t="s">
        <v>420</v>
      </c>
      <c r="H634" s="1">
        <v>4600</v>
      </c>
      <c r="I634" s="1">
        <v>400</v>
      </c>
      <c r="J634" s="1"/>
      <c r="L634" s="8">
        <v>90</v>
      </c>
      <c r="M634" s="16" t="s">
        <v>551</v>
      </c>
      <c r="N634" t="s">
        <v>584</v>
      </c>
      <c r="O634" t="s">
        <v>16</v>
      </c>
      <c r="R634" s="3">
        <v>1</v>
      </c>
      <c r="S634" t="s">
        <v>18</v>
      </c>
      <c r="T634" s="2">
        <v>411298.29</v>
      </c>
    </row>
    <row r="635" spans="1:20" hidden="1" x14ac:dyDescent="0.35">
      <c r="A635" s="20">
        <v>46021</v>
      </c>
      <c r="B635">
        <v>8137343729</v>
      </c>
      <c r="C635" t="s">
        <v>341</v>
      </c>
      <c r="H635" s="1">
        <v>95631.58</v>
      </c>
      <c r="I635" s="1">
        <v>4157.8900000000003</v>
      </c>
      <c r="J635" s="1"/>
      <c r="L635" s="8">
        <v>90</v>
      </c>
      <c r="M635" s="16" t="s">
        <v>495</v>
      </c>
      <c r="N635" t="s">
        <v>584</v>
      </c>
      <c r="O635" t="s">
        <v>16</v>
      </c>
      <c r="R635" s="3">
        <v>1</v>
      </c>
      <c r="S635" t="s">
        <v>18</v>
      </c>
      <c r="T635" s="2">
        <v>411298.29</v>
      </c>
    </row>
    <row r="636" spans="1:20" hidden="1" x14ac:dyDescent="0.35">
      <c r="A636" s="20">
        <v>46021</v>
      </c>
      <c r="B636">
        <v>8137343732</v>
      </c>
      <c r="C636" t="s">
        <v>342</v>
      </c>
      <c r="H636" s="1">
        <v>98818.35</v>
      </c>
      <c r="I636" s="1">
        <v>4296</v>
      </c>
      <c r="J636" s="1"/>
      <c r="L636" s="8">
        <v>90</v>
      </c>
      <c r="M636" s="16" t="s">
        <v>496</v>
      </c>
      <c r="N636" t="s">
        <v>584</v>
      </c>
      <c r="O636" t="s">
        <v>16</v>
      </c>
      <c r="R636" s="3">
        <v>1</v>
      </c>
      <c r="S636" t="s">
        <v>18</v>
      </c>
      <c r="T636" s="2">
        <v>411298.29</v>
      </c>
    </row>
    <row r="637" spans="1:20" hidden="1" x14ac:dyDescent="0.35">
      <c r="A637" s="20">
        <v>46021</v>
      </c>
      <c r="B637">
        <v>8137343734</v>
      </c>
      <c r="C637" t="s">
        <v>343</v>
      </c>
      <c r="H637" s="1">
        <v>49631.58</v>
      </c>
      <c r="I637" s="1">
        <v>2157.89</v>
      </c>
      <c r="J637" s="1"/>
      <c r="L637" s="8">
        <v>90</v>
      </c>
      <c r="M637" s="16" t="s">
        <v>497</v>
      </c>
      <c r="N637" t="s">
        <v>585</v>
      </c>
      <c r="O637" t="s">
        <v>16</v>
      </c>
      <c r="R637" s="3">
        <v>1</v>
      </c>
      <c r="S637" t="s">
        <v>18</v>
      </c>
      <c r="T637" s="2">
        <v>519844.76</v>
      </c>
    </row>
    <row r="638" spans="1:20" hidden="1" x14ac:dyDescent="0.35">
      <c r="A638" s="20">
        <v>46021</v>
      </c>
      <c r="B638">
        <v>8137343736</v>
      </c>
      <c r="C638" t="s">
        <v>344</v>
      </c>
      <c r="H638" s="1">
        <v>46000</v>
      </c>
      <c r="I638" s="1">
        <v>2000</v>
      </c>
      <c r="J638" s="1"/>
      <c r="L638" s="8">
        <v>90</v>
      </c>
      <c r="M638" s="16" t="s">
        <v>498</v>
      </c>
      <c r="N638" t="s">
        <v>584</v>
      </c>
      <c r="O638" t="s">
        <v>16</v>
      </c>
      <c r="R638" s="3">
        <v>1</v>
      </c>
      <c r="S638" t="s">
        <v>18</v>
      </c>
      <c r="T638" s="2">
        <v>411298.29</v>
      </c>
    </row>
    <row r="639" spans="1:20" hidden="1" x14ac:dyDescent="0.35">
      <c r="A639" s="20">
        <v>46021</v>
      </c>
      <c r="B639">
        <v>8137343737</v>
      </c>
      <c r="C639" t="s">
        <v>345</v>
      </c>
      <c r="H639" s="1">
        <v>48420.75</v>
      </c>
      <c r="I639" s="1">
        <v>2105</v>
      </c>
      <c r="J639" s="1"/>
      <c r="L639" s="8">
        <v>90</v>
      </c>
      <c r="M639" s="17">
        <v>174863202527</v>
      </c>
      <c r="N639" t="s">
        <v>584</v>
      </c>
      <c r="O639" t="s">
        <v>16</v>
      </c>
      <c r="R639" s="3">
        <v>1</v>
      </c>
      <c r="S639" t="s">
        <v>18</v>
      </c>
      <c r="T639" s="2">
        <v>411298.29</v>
      </c>
    </row>
    <row r="640" spans="1:20" hidden="1" x14ac:dyDescent="0.35">
      <c r="A640" s="20">
        <v>46021</v>
      </c>
      <c r="B640">
        <v>8137343739</v>
      </c>
      <c r="C640" t="s">
        <v>346</v>
      </c>
      <c r="H640" s="1">
        <v>124967.05</v>
      </c>
      <c r="I640" s="1">
        <v>5433</v>
      </c>
      <c r="J640" s="1"/>
      <c r="L640" s="8">
        <v>90</v>
      </c>
      <c r="M640" s="16" t="s">
        <v>213</v>
      </c>
      <c r="N640" t="s">
        <v>585</v>
      </c>
      <c r="O640" t="s">
        <v>16</v>
      </c>
      <c r="R640" s="3">
        <v>1</v>
      </c>
      <c r="S640" t="s">
        <v>18</v>
      </c>
      <c r="T640" s="2">
        <v>519844.76</v>
      </c>
    </row>
    <row r="641" spans="1:20" hidden="1" x14ac:dyDescent="0.35">
      <c r="A641" s="20">
        <v>46021</v>
      </c>
      <c r="B641">
        <v>8137343746</v>
      </c>
      <c r="C641" t="s">
        <v>339</v>
      </c>
      <c r="H641" s="1">
        <v>131652</v>
      </c>
      <c r="I641" s="1">
        <v>5724</v>
      </c>
      <c r="J641" s="1"/>
      <c r="L641" s="8">
        <v>90</v>
      </c>
      <c r="M641" s="17" t="s">
        <v>494</v>
      </c>
      <c r="N641" t="s">
        <v>585</v>
      </c>
      <c r="O641" t="s">
        <v>16</v>
      </c>
      <c r="R641" s="3">
        <v>1</v>
      </c>
      <c r="S641" t="s">
        <v>18</v>
      </c>
      <c r="T641" s="2">
        <v>519844.76</v>
      </c>
    </row>
    <row r="642" spans="1:20" hidden="1" x14ac:dyDescent="0.35">
      <c r="A642" s="20">
        <v>46021</v>
      </c>
      <c r="B642">
        <v>8137343747</v>
      </c>
      <c r="C642" t="s">
        <v>340</v>
      </c>
      <c r="H642" s="1">
        <v>46000</v>
      </c>
      <c r="I642" s="1">
        <v>2000</v>
      </c>
      <c r="J642" s="1"/>
      <c r="L642" s="8">
        <v>90</v>
      </c>
      <c r="M642" s="17">
        <v>494793330871</v>
      </c>
      <c r="N642" t="s">
        <v>585</v>
      </c>
      <c r="O642" t="s">
        <v>16</v>
      </c>
      <c r="R642" s="3">
        <v>1</v>
      </c>
      <c r="S642" t="s">
        <v>18</v>
      </c>
      <c r="T642" s="2">
        <v>519844.76</v>
      </c>
    </row>
    <row r="643" spans="1:20" hidden="1" x14ac:dyDescent="0.35">
      <c r="A643" s="20">
        <v>46021</v>
      </c>
      <c r="B643">
        <v>8137343748</v>
      </c>
      <c r="C643" t="s">
        <v>466</v>
      </c>
      <c r="H643" s="1">
        <v>79520.039999999994</v>
      </c>
      <c r="I643" s="1">
        <v>2105</v>
      </c>
      <c r="J643" s="1"/>
      <c r="L643" s="8">
        <v>90</v>
      </c>
      <c r="M643" s="17">
        <v>178108156655</v>
      </c>
      <c r="N643" t="s">
        <v>584</v>
      </c>
      <c r="O643" t="s">
        <v>16</v>
      </c>
      <c r="R643" s="3">
        <v>1</v>
      </c>
      <c r="S643" t="s">
        <v>18</v>
      </c>
      <c r="T643" s="2">
        <v>411298.29</v>
      </c>
    </row>
    <row r="644" spans="1:20" hidden="1" x14ac:dyDescent="0.35">
      <c r="A644" s="20">
        <v>46021</v>
      </c>
      <c r="B644">
        <v>8137343773</v>
      </c>
      <c r="C644" t="s">
        <v>371</v>
      </c>
      <c r="H644" s="1">
        <v>59092.75</v>
      </c>
      <c r="I644" s="1">
        <v>2569</v>
      </c>
      <c r="J644" s="1"/>
      <c r="L644" s="8">
        <v>90</v>
      </c>
      <c r="M644" s="16" t="s">
        <v>509</v>
      </c>
      <c r="N644" t="s">
        <v>585</v>
      </c>
      <c r="O644" t="s">
        <v>16</v>
      </c>
      <c r="R644" s="3">
        <v>1</v>
      </c>
      <c r="S644" t="s">
        <v>18</v>
      </c>
      <c r="T644" s="2">
        <v>519844.76</v>
      </c>
    </row>
    <row r="645" spans="1:20" hidden="1" x14ac:dyDescent="0.35">
      <c r="A645" s="20">
        <v>46021</v>
      </c>
      <c r="B645">
        <v>8137343778</v>
      </c>
      <c r="C645" t="s">
        <v>319</v>
      </c>
      <c r="H645" s="1">
        <v>176132.85</v>
      </c>
      <c r="I645" s="1">
        <v>7659</v>
      </c>
      <c r="J645" s="1"/>
      <c r="L645" s="8">
        <v>90</v>
      </c>
      <c r="M645" s="17">
        <v>773259640141</v>
      </c>
      <c r="N645" t="s">
        <v>585</v>
      </c>
      <c r="O645" t="s">
        <v>16</v>
      </c>
      <c r="R645" s="3">
        <v>1</v>
      </c>
      <c r="S645" t="s">
        <v>18</v>
      </c>
      <c r="T645" s="2">
        <v>519844.76</v>
      </c>
    </row>
    <row r="646" spans="1:20" hidden="1" x14ac:dyDescent="0.35">
      <c r="A646" s="20">
        <v>46021</v>
      </c>
      <c r="B646">
        <v>8137343779</v>
      </c>
      <c r="C646" t="s">
        <v>368</v>
      </c>
      <c r="H646" s="1">
        <v>318368.3</v>
      </c>
      <c r="I646" s="1">
        <v>13842</v>
      </c>
      <c r="J646" s="1"/>
      <c r="L646" s="8">
        <v>90</v>
      </c>
      <c r="M646" s="16" t="s">
        <v>506</v>
      </c>
      <c r="N646" t="s">
        <v>585</v>
      </c>
      <c r="O646" t="s">
        <v>16</v>
      </c>
      <c r="R646" s="3">
        <v>1</v>
      </c>
      <c r="S646" t="s">
        <v>18</v>
      </c>
      <c r="T646" s="2">
        <v>519844.76</v>
      </c>
    </row>
    <row r="647" spans="1:20" hidden="1" x14ac:dyDescent="0.35">
      <c r="A647" s="20">
        <v>46021</v>
      </c>
      <c r="B647">
        <v>8137343780</v>
      </c>
      <c r="C647" t="s">
        <v>369</v>
      </c>
      <c r="H647" s="1">
        <v>58362.5</v>
      </c>
      <c r="I647" s="1">
        <v>2538</v>
      </c>
      <c r="J647" s="1"/>
      <c r="L647" s="8">
        <v>90</v>
      </c>
      <c r="M647" s="16" t="s">
        <v>507</v>
      </c>
      <c r="N647" t="s">
        <v>585</v>
      </c>
      <c r="O647" t="s">
        <v>16</v>
      </c>
      <c r="R647" s="3">
        <v>1</v>
      </c>
      <c r="S647" t="s">
        <v>18</v>
      </c>
      <c r="T647" s="2">
        <v>519844.76</v>
      </c>
    </row>
    <row r="648" spans="1:20" hidden="1" x14ac:dyDescent="0.35">
      <c r="A648" s="20">
        <v>46021</v>
      </c>
      <c r="B648">
        <v>8137343781</v>
      </c>
      <c r="C648" t="s">
        <v>370</v>
      </c>
      <c r="H648" s="1">
        <v>159879.9</v>
      </c>
      <c r="I648" s="1">
        <v>6951</v>
      </c>
      <c r="J648" s="1"/>
      <c r="L648" s="8">
        <v>90</v>
      </c>
      <c r="M648" s="16" t="s">
        <v>508</v>
      </c>
      <c r="N648" t="s">
        <v>585</v>
      </c>
      <c r="O648" t="s">
        <v>16</v>
      </c>
      <c r="R648" s="3">
        <v>1</v>
      </c>
      <c r="S648" t="s">
        <v>18</v>
      </c>
      <c r="T648" s="2">
        <v>519844.76</v>
      </c>
    </row>
    <row r="649" spans="1:20" hidden="1" x14ac:dyDescent="0.35">
      <c r="A649" s="20">
        <v>46021</v>
      </c>
      <c r="B649">
        <v>8137343800</v>
      </c>
      <c r="C649" t="s">
        <v>316</v>
      </c>
      <c r="H649" s="1">
        <v>2394</v>
      </c>
      <c r="I649" s="1">
        <v>46</v>
      </c>
      <c r="J649" s="1"/>
      <c r="L649" s="3">
        <v>90</v>
      </c>
      <c r="M649" s="16" t="s">
        <v>474</v>
      </c>
      <c r="N649" t="s">
        <v>584</v>
      </c>
      <c r="O649" t="s">
        <v>16</v>
      </c>
      <c r="R649" s="3">
        <v>1</v>
      </c>
      <c r="S649" t="s">
        <v>18</v>
      </c>
      <c r="T649" s="2">
        <v>411298.29</v>
      </c>
    </row>
    <row r="650" spans="1:20" hidden="1" x14ac:dyDescent="0.35">
      <c r="A650" s="20">
        <v>45992</v>
      </c>
      <c r="B650">
        <v>8137320914</v>
      </c>
      <c r="C650" t="s">
        <v>586</v>
      </c>
      <c r="H650" s="1">
        <v>24403</v>
      </c>
      <c r="I650" s="1">
        <v>2122</v>
      </c>
      <c r="J650" s="1"/>
      <c r="L650" s="8">
        <v>109</v>
      </c>
      <c r="M650" s="16" t="s">
        <v>616</v>
      </c>
      <c r="N650" t="s">
        <v>641</v>
      </c>
      <c r="O650" t="s">
        <v>16</v>
      </c>
      <c r="R650" s="3">
        <v>1</v>
      </c>
      <c r="S650" t="s">
        <v>18</v>
      </c>
      <c r="T650" s="2">
        <v>284375.46000000002</v>
      </c>
    </row>
    <row r="651" spans="1:20" hidden="1" x14ac:dyDescent="0.35">
      <c r="A651" s="20">
        <v>45992</v>
      </c>
      <c r="B651">
        <v>8137320922</v>
      </c>
      <c r="C651" t="s">
        <v>587</v>
      </c>
      <c r="H651" s="1">
        <v>33655</v>
      </c>
      <c r="I651" s="1">
        <v>5970</v>
      </c>
      <c r="J651" s="1"/>
      <c r="L651" s="8">
        <v>109</v>
      </c>
      <c r="M651" s="16" t="s">
        <v>617</v>
      </c>
      <c r="N651" t="s">
        <v>641</v>
      </c>
      <c r="O651" t="s">
        <v>16</v>
      </c>
      <c r="R651" s="3">
        <v>1</v>
      </c>
      <c r="S651" t="s">
        <v>18</v>
      </c>
      <c r="T651" s="2">
        <v>284375.46000000002</v>
      </c>
    </row>
    <row r="652" spans="1:20" hidden="1" x14ac:dyDescent="0.35">
      <c r="A652" s="20">
        <v>45992</v>
      </c>
      <c r="B652">
        <v>8137320923</v>
      </c>
      <c r="C652" t="s">
        <v>588</v>
      </c>
      <c r="H652" s="1">
        <v>34518</v>
      </c>
      <c r="I652" s="1">
        <v>3245</v>
      </c>
      <c r="J652" s="1"/>
      <c r="L652" s="8">
        <v>109</v>
      </c>
      <c r="M652" s="16" t="s">
        <v>618</v>
      </c>
      <c r="N652" t="s">
        <v>641</v>
      </c>
      <c r="O652" t="s">
        <v>16</v>
      </c>
      <c r="R652" s="3">
        <v>1</v>
      </c>
      <c r="S652" t="s">
        <v>18</v>
      </c>
      <c r="T652" s="2">
        <v>284375.46000000002</v>
      </c>
    </row>
    <row r="653" spans="1:20" hidden="1" x14ac:dyDescent="0.35">
      <c r="A653" s="20">
        <v>45992</v>
      </c>
      <c r="B653">
        <v>8137320931</v>
      </c>
      <c r="C653" t="s">
        <v>589</v>
      </c>
      <c r="H653" s="1">
        <v>11500</v>
      </c>
      <c r="I653" s="1">
        <v>1000</v>
      </c>
      <c r="J653" s="1"/>
      <c r="L653" s="8">
        <v>109</v>
      </c>
      <c r="M653" s="16" t="s">
        <v>619</v>
      </c>
      <c r="N653" t="s">
        <v>641</v>
      </c>
      <c r="O653" t="s">
        <v>16</v>
      </c>
      <c r="R653" s="3">
        <v>1</v>
      </c>
      <c r="S653" t="s">
        <v>18</v>
      </c>
      <c r="T653" s="2">
        <v>284375.46000000002</v>
      </c>
    </row>
    <row r="654" spans="1:20" hidden="1" x14ac:dyDescent="0.35">
      <c r="A654" s="20">
        <v>45992</v>
      </c>
      <c r="B654">
        <v>8137320933</v>
      </c>
      <c r="C654" t="s">
        <v>590</v>
      </c>
      <c r="H654" s="1">
        <v>99360</v>
      </c>
      <c r="I654" s="1">
        <v>8640</v>
      </c>
      <c r="J654" s="1"/>
      <c r="L654" s="8">
        <v>109</v>
      </c>
      <c r="M654" s="16" t="s">
        <v>620</v>
      </c>
      <c r="N654" t="s">
        <v>641</v>
      </c>
      <c r="O654" t="s">
        <v>16</v>
      </c>
      <c r="R654" s="3">
        <v>1</v>
      </c>
      <c r="S654" t="s">
        <v>18</v>
      </c>
      <c r="T654" s="2">
        <v>284375.46000000002</v>
      </c>
    </row>
    <row r="655" spans="1:20" hidden="1" x14ac:dyDescent="0.35">
      <c r="A655" s="20">
        <v>45992</v>
      </c>
      <c r="B655">
        <v>8137320934</v>
      </c>
      <c r="C655" t="s">
        <v>591</v>
      </c>
      <c r="H655" s="1">
        <v>141588</v>
      </c>
      <c r="I655" s="1">
        <v>12312</v>
      </c>
      <c r="J655" s="1"/>
      <c r="L655" s="8">
        <v>109</v>
      </c>
      <c r="M655" s="16" t="s">
        <v>621</v>
      </c>
      <c r="N655" t="s">
        <v>641</v>
      </c>
      <c r="O655" t="s">
        <v>16</v>
      </c>
      <c r="R655" s="3">
        <v>1</v>
      </c>
      <c r="S655" t="s">
        <v>18</v>
      </c>
      <c r="T655" s="2">
        <v>284375.46000000002</v>
      </c>
    </row>
    <row r="656" spans="1:20" hidden="1" x14ac:dyDescent="0.35">
      <c r="A656" s="20">
        <v>45992</v>
      </c>
      <c r="B656">
        <v>8137321080</v>
      </c>
      <c r="C656" t="s">
        <v>592</v>
      </c>
      <c r="H656" s="1">
        <v>15341</v>
      </c>
      <c r="I656" s="1">
        <v>1334</v>
      </c>
      <c r="J656" s="1"/>
      <c r="L656" s="8">
        <v>109</v>
      </c>
      <c r="M656" s="16" t="s">
        <v>622</v>
      </c>
      <c r="N656" t="s">
        <v>641</v>
      </c>
      <c r="O656" t="s">
        <v>16</v>
      </c>
      <c r="R656" s="3">
        <v>1</v>
      </c>
      <c r="S656" t="s">
        <v>18</v>
      </c>
      <c r="T656" s="2">
        <v>284375.46000000002</v>
      </c>
    </row>
    <row r="657" spans="1:20" hidden="1" x14ac:dyDescent="0.35">
      <c r="A657" s="20">
        <v>45992</v>
      </c>
      <c r="B657">
        <v>8137321160</v>
      </c>
      <c r="C657" t="s">
        <v>593</v>
      </c>
      <c r="H657" s="1">
        <v>28876.039999999997</v>
      </c>
      <c r="I657" s="1">
        <v>2511</v>
      </c>
      <c r="J657" s="1"/>
      <c r="L657" s="8">
        <v>109</v>
      </c>
      <c r="M657" s="16" t="s">
        <v>623</v>
      </c>
      <c r="N657" t="s">
        <v>641</v>
      </c>
      <c r="O657" t="s">
        <v>16</v>
      </c>
      <c r="R657" s="3">
        <v>1</v>
      </c>
      <c r="S657" t="s">
        <v>18</v>
      </c>
      <c r="T657" s="2">
        <v>284375.46000000002</v>
      </c>
    </row>
    <row r="658" spans="1:20" hidden="1" x14ac:dyDescent="0.35">
      <c r="A658" s="20">
        <v>45992</v>
      </c>
      <c r="B658">
        <v>8137321379</v>
      </c>
      <c r="C658" t="s">
        <v>594</v>
      </c>
      <c r="H658" s="1">
        <v>5850</v>
      </c>
      <c r="I658" s="1">
        <v>508.7</v>
      </c>
      <c r="J658" s="1"/>
      <c r="L658" s="8">
        <v>109</v>
      </c>
      <c r="M658" s="17" t="s">
        <v>624</v>
      </c>
      <c r="N658" t="s">
        <v>641</v>
      </c>
      <c r="O658" t="s">
        <v>16</v>
      </c>
      <c r="R658" s="3">
        <v>1</v>
      </c>
      <c r="S658" t="s">
        <v>18</v>
      </c>
      <c r="T658" s="2">
        <v>284375.46000000002</v>
      </c>
    </row>
    <row r="659" spans="1:20" hidden="1" x14ac:dyDescent="0.35">
      <c r="A659" s="20">
        <v>45993</v>
      </c>
      <c r="B659">
        <v>8137321753</v>
      </c>
      <c r="C659" t="s">
        <v>595</v>
      </c>
      <c r="H659" s="1">
        <v>255555.3</v>
      </c>
      <c r="I659" s="1">
        <v>22222</v>
      </c>
      <c r="J659" s="1"/>
      <c r="L659" s="8">
        <v>109</v>
      </c>
      <c r="M659" s="17" t="s">
        <v>625</v>
      </c>
      <c r="N659" t="s">
        <v>641</v>
      </c>
      <c r="O659" t="s">
        <v>16</v>
      </c>
      <c r="R659" s="3">
        <v>1</v>
      </c>
      <c r="S659" t="s">
        <v>18</v>
      </c>
      <c r="T659" s="2">
        <v>284375.46000000002</v>
      </c>
    </row>
    <row r="660" spans="1:20" hidden="1" x14ac:dyDescent="0.35">
      <c r="A660" s="20">
        <v>45994</v>
      </c>
      <c r="B660">
        <v>8137322138</v>
      </c>
      <c r="C660" t="s">
        <v>596</v>
      </c>
      <c r="H660" s="1">
        <v>196807</v>
      </c>
      <c r="I660" s="1">
        <v>18563</v>
      </c>
      <c r="J660" s="1"/>
      <c r="L660" s="8">
        <v>109</v>
      </c>
      <c r="M660" s="17">
        <v>827230173402</v>
      </c>
      <c r="N660" t="s">
        <v>641</v>
      </c>
      <c r="O660" t="s">
        <v>16</v>
      </c>
      <c r="R660" s="3">
        <v>1</v>
      </c>
      <c r="S660" t="s">
        <v>18</v>
      </c>
      <c r="T660" s="2">
        <v>284375.46000000002</v>
      </c>
    </row>
    <row r="661" spans="1:20" hidden="1" x14ac:dyDescent="0.35">
      <c r="A661" s="20">
        <v>45994</v>
      </c>
      <c r="B661">
        <v>8137322223</v>
      </c>
      <c r="C661" t="s">
        <v>597</v>
      </c>
      <c r="H661" s="1">
        <v>193200</v>
      </c>
      <c r="I661" s="1">
        <v>16800</v>
      </c>
      <c r="J661" s="1"/>
      <c r="L661" s="3">
        <v>109</v>
      </c>
      <c r="M661" s="16" t="s">
        <v>626</v>
      </c>
      <c r="N661" t="s">
        <v>641</v>
      </c>
      <c r="O661" t="s">
        <v>16</v>
      </c>
      <c r="R661" s="3">
        <v>1</v>
      </c>
      <c r="S661" t="s">
        <v>18</v>
      </c>
      <c r="T661" s="2">
        <v>284375.46000000002</v>
      </c>
    </row>
    <row r="662" spans="1:20" hidden="1" x14ac:dyDescent="0.35">
      <c r="A662" s="20">
        <v>45998</v>
      </c>
      <c r="B662">
        <v>8137329182</v>
      </c>
      <c r="C662" t="s">
        <v>598</v>
      </c>
      <c r="H662" s="1">
        <v>25556</v>
      </c>
      <c r="I662" s="1">
        <v>2222</v>
      </c>
      <c r="J662" s="1"/>
      <c r="L662" s="8">
        <v>109</v>
      </c>
      <c r="M662" s="17" t="s">
        <v>627</v>
      </c>
      <c r="N662" t="s">
        <v>641</v>
      </c>
      <c r="O662" t="s">
        <v>16</v>
      </c>
      <c r="R662" s="3">
        <v>1</v>
      </c>
      <c r="S662" t="s">
        <v>18</v>
      </c>
      <c r="T662" s="2">
        <v>284375.46000000002</v>
      </c>
    </row>
    <row r="663" spans="1:20" hidden="1" x14ac:dyDescent="0.35">
      <c r="A663" s="20">
        <v>45998</v>
      </c>
      <c r="B663">
        <v>8137329592</v>
      </c>
      <c r="C663" t="s">
        <v>599</v>
      </c>
      <c r="H663" s="1">
        <v>23000</v>
      </c>
      <c r="I663" s="1">
        <v>2000</v>
      </c>
      <c r="J663" s="1"/>
      <c r="L663" s="8">
        <v>109</v>
      </c>
      <c r="M663" s="17">
        <v>162048837324</v>
      </c>
      <c r="N663" t="s">
        <v>641</v>
      </c>
      <c r="O663" t="s">
        <v>16</v>
      </c>
      <c r="R663" s="3">
        <v>1</v>
      </c>
      <c r="S663" t="s">
        <v>18</v>
      </c>
      <c r="T663" s="2">
        <v>284375.46000000002</v>
      </c>
    </row>
    <row r="664" spans="1:20" hidden="1" x14ac:dyDescent="0.35">
      <c r="A664" s="20">
        <v>45998</v>
      </c>
      <c r="B664">
        <v>8137329602</v>
      </c>
      <c r="C664" t="s">
        <v>600</v>
      </c>
      <c r="H664" s="1">
        <v>36800</v>
      </c>
      <c r="I664" s="1">
        <v>3200</v>
      </c>
      <c r="J664" s="1"/>
      <c r="L664" s="8">
        <v>109</v>
      </c>
      <c r="M664" s="16" t="s">
        <v>628</v>
      </c>
      <c r="N664" t="s">
        <v>641</v>
      </c>
      <c r="O664" t="s">
        <v>16</v>
      </c>
      <c r="R664" s="3">
        <v>1</v>
      </c>
      <c r="S664" t="s">
        <v>18</v>
      </c>
      <c r="T664" s="2">
        <v>284375.46000000002</v>
      </c>
    </row>
    <row r="665" spans="1:20" hidden="1" x14ac:dyDescent="0.35">
      <c r="A665" s="20">
        <v>45998</v>
      </c>
      <c r="B665">
        <v>8137329626</v>
      </c>
      <c r="C665" t="s">
        <v>601</v>
      </c>
      <c r="H665" s="1">
        <v>50600</v>
      </c>
      <c r="I665" s="1">
        <v>4400</v>
      </c>
      <c r="J665" s="1"/>
      <c r="L665" s="8">
        <v>109</v>
      </c>
      <c r="M665" s="16" t="s">
        <v>629</v>
      </c>
      <c r="N665" t="s">
        <v>641</v>
      </c>
      <c r="O665" t="s">
        <v>16</v>
      </c>
      <c r="R665" s="3">
        <v>1</v>
      </c>
      <c r="S665" t="s">
        <v>18</v>
      </c>
      <c r="T665" s="2">
        <v>284375.46000000002</v>
      </c>
    </row>
    <row r="666" spans="1:20" hidden="1" x14ac:dyDescent="0.35">
      <c r="A666" s="20">
        <v>45998</v>
      </c>
      <c r="B666">
        <v>8137329627</v>
      </c>
      <c r="C666" t="s">
        <v>602</v>
      </c>
      <c r="H666" s="1">
        <v>106500</v>
      </c>
      <c r="I666" s="1">
        <v>10000</v>
      </c>
      <c r="J666" s="1"/>
      <c r="L666" s="8">
        <v>109</v>
      </c>
      <c r="M666" s="16" t="s">
        <v>630</v>
      </c>
      <c r="N666" t="s">
        <v>641</v>
      </c>
      <c r="O666" t="s">
        <v>16</v>
      </c>
      <c r="R666" s="3">
        <v>1</v>
      </c>
      <c r="S666" t="s">
        <v>18</v>
      </c>
      <c r="T666" s="2">
        <v>284375.46000000002</v>
      </c>
    </row>
    <row r="667" spans="1:20" hidden="1" x14ac:dyDescent="0.35">
      <c r="A667" s="20">
        <v>45998</v>
      </c>
      <c r="B667">
        <v>8137329813</v>
      </c>
      <c r="C667" t="s">
        <v>603</v>
      </c>
      <c r="H667" s="1">
        <v>278667</v>
      </c>
      <c r="I667" s="1">
        <v>26667</v>
      </c>
      <c r="J667" s="1"/>
      <c r="L667" s="3">
        <v>109</v>
      </c>
      <c r="M667" s="16" t="s">
        <v>631</v>
      </c>
      <c r="N667" t="s">
        <v>641</v>
      </c>
      <c r="O667" t="s">
        <v>16</v>
      </c>
      <c r="R667" s="3">
        <v>1</v>
      </c>
      <c r="S667" t="s">
        <v>18</v>
      </c>
      <c r="T667" s="2">
        <v>284375.46000000002</v>
      </c>
    </row>
    <row r="668" spans="1:20" hidden="1" x14ac:dyDescent="0.35">
      <c r="A668" s="20">
        <v>45999</v>
      </c>
      <c r="B668">
        <v>8137330328</v>
      </c>
      <c r="C668" t="s">
        <v>604</v>
      </c>
      <c r="H668" s="1">
        <v>24278</v>
      </c>
      <c r="I668" s="1">
        <v>2111</v>
      </c>
      <c r="J668" s="1"/>
      <c r="L668" s="8">
        <v>109</v>
      </c>
      <c r="M668" s="16" t="s">
        <v>632</v>
      </c>
      <c r="N668" t="s">
        <v>641</v>
      </c>
      <c r="O668" t="s">
        <v>16</v>
      </c>
      <c r="R668" s="3">
        <v>1</v>
      </c>
      <c r="S668" t="s">
        <v>18</v>
      </c>
      <c r="T668" s="2">
        <v>284375.46000000002</v>
      </c>
    </row>
    <row r="669" spans="1:20" hidden="1" x14ac:dyDescent="0.35">
      <c r="A669" s="20">
        <v>46000</v>
      </c>
      <c r="B669">
        <v>8137330977</v>
      </c>
      <c r="C669" t="s">
        <v>605</v>
      </c>
      <c r="H669" s="1">
        <v>28110.6</v>
      </c>
      <c r="I669" s="1">
        <v>2444</v>
      </c>
      <c r="J669" s="1"/>
      <c r="L669" s="8">
        <v>109</v>
      </c>
      <c r="M669" s="17">
        <v>465521103450</v>
      </c>
      <c r="N669" t="s">
        <v>641</v>
      </c>
      <c r="O669" t="s">
        <v>16</v>
      </c>
      <c r="R669" s="3">
        <v>1</v>
      </c>
      <c r="S669" t="s">
        <v>18</v>
      </c>
      <c r="T669" s="2">
        <v>284375.46000000002</v>
      </c>
    </row>
    <row r="670" spans="1:20" hidden="1" x14ac:dyDescent="0.35">
      <c r="A670" s="20">
        <v>46001</v>
      </c>
      <c r="B670">
        <v>8137331502</v>
      </c>
      <c r="C670" t="s">
        <v>606</v>
      </c>
      <c r="H670" s="1">
        <v>316250</v>
      </c>
      <c r="I670" s="1">
        <v>27500</v>
      </c>
      <c r="J670" s="1"/>
      <c r="L670" s="8">
        <v>109</v>
      </c>
      <c r="M670" s="16" t="s">
        <v>633</v>
      </c>
      <c r="N670" t="s">
        <v>641</v>
      </c>
      <c r="O670" t="s">
        <v>16</v>
      </c>
      <c r="R670" s="3">
        <v>1</v>
      </c>
      <c r="S670" t="s">
        <v>18</v>
      </c>
      <c r="T670" s="2">
        <v>284375.46000000002</v>
      </c>
    </row>
    <row r="671" spans="1:20" hidden="1" x14ac:dyDescent="0.35">
      <c r="A671" s="20">
        <v>46001</v>
      </c>
      <c r="B671">
        <v>8137331838</v>
      </c>
      <c r="C671" t="s">
        <v>142</v>
      </c>
      <c r="H671" s="1">
        <v>10499.5</v>
      </c>
      <c r="I671" s="1">
        <v>913</v>
      </c>
      <c r="J671" s="1"/>
      <c r="L671" s="8">
        <v>109</v>
      </c>
      <c r="M671" s="16" t="s">
        <v>240</v>
      </c>
      <c r="N671" t="s">
        <v>641</v>
      </c>
      <c r="O671" t="s">
        <v>16</v>
      </c>
      <c r="R671" s="3">
        <v>1</v>
      </c>
      <c r="S671" t="s">
        <v>18</v>
      </c>
      <c r="T671" s="2">
        <v>284375.46000000002</v>
      </c>
    </row>
    <row r="672" spans="1:20" hidden="1" x14ac:dyDescent="0.35">
      <c r="A672" s="20">
        <v>46005</v>
      </c>
      <c r="B672">
        <v>8137332326</v>
      </c>
      <c r="C672" t="s">
        <v>607</v>
      </c>
      <c r="H672" s="1">
        <v>122903.03</v>
      </c>
      <c r="I672" s="1">
        <v>10687.21</v>
      </c>
      <c r="J672" s="1"/>
      <c r="L672" s="8">
        <v>109</v>
      </c>
      <c r="M672" s="16" t="s">
        <v>634</v>
      </c>
      <c r="N672" t="s">
        <v>641</v>
      </c>
      <c r="O672" t="s">
        <v>16</v>
      </c>
      <c r="R672" s="3">
        <v>1</v>
      </c>
      <c r="S672" t="s">
        <v>18</v>
      </c>
      <c r="T672" s="2">
        <v>284375.46000000002</v>
      </c>
    </row>
    <row r="673" spans="1:20" hidden="1" x14ac:dyDescent="0.35">
      <c r="A673" s="20">
        <v>46005</v>
      </c>
      <c r="B673">
        <v>8137333096</v>
      </c>
      <c r="C673" t="s">
        <v>608</v>
      </c>
      <c r="H673" s="1">
        <v>277516</v>
      </c>
      <c r="I673" s="1">
        <v>24132</v>
      </c>
      <c r="J673" s="1"/>
      <c r="L673" s="8">
        <v>109</v>
      </c>
      <c r="M673" s="16" t="s">
        <v>635</v>
      </c>
      <c r="N673" t="s">
        <v>641</v>
      </c>
      <c r="O673" t="s">
        <v>16</v>
      </c>
      <c r="R673" s="3">
        <v>1</v>
      </c>
      <c r="S673" t="s">
        <v>18</v>
      </c>
      <c r="T673" s="2">
        <v>284375.46000000002</v>
      </c>
    </row>
    <row r="674" spans="1:20" hidden="1" x14ac:dyDescent="0.35">
      <c r="A674" s="20">
        <v>46005</v>
      </c>
      <c r="B674">
        <v>8137333098</v>
      </c>
      <c r="C674" t="s">
        <v>609</v>
      </c>
      <c r="H674" s="1">
        <v>192700</v>
      </c>
      <c r="I674" s="1">
        <v>19800</v>
      </c>
      <c r="J674" s="1"/>
      <c r="L674" s="3">
        <v>109</v>
      </c>
      <c r="M674" s="16" t="s">
        <v>636</v>
      </c>
      <c r="N674" t="s">
        <v>641</v>
      </c>
      <c r="O674" t="s">
        <v>16</v>
      </c>
      <c r="R674" s="3">
        <v>1</v>
      </c>
      <c r="S674" t="s">
        <v>18</v>
      </c>
      <c r="T674" s="2">
        <v>284375.46000000002</v>
      </c>
    </row>
    <row r="675" spans="1:20" hidden="1" x14ac:dyDescent="0.35">
      <c r="A675" s="20">
        <v>46005</v>
      </c>
      <c r="B675">
        <v>8137333115</v>
      </c>
      <c r="C675" t="s">
        <v>610</v>
      </c>
      <c r="H675" s="1">
        <v>28750</v>
      </c>
      <c r="I675" s="1">
        <v>2500</v>
      </c>
      <c r="J675" s="1"/>
      <c r="L675" s="8">
        <v>109</v>
      </c>
      <c r="M675" s="16" t="s">
        <v>637</v>
      </c>
      <c r="N675" t="s">
        <v>641</v>
      </c>
      <c r="O675" t="s">
        <v>16</v>
      </c>
      <c r="R675" s="3">
        <v>1</v>
      </c>
      <c r="S675" t="s">
        <v>18</v>
      </c>
      <c r="T675" s="2">
        <v>284375.46000000002</v>
      </c>
    </row>
    <row r="676" spans="1:20" hidden="1" x14ac:dyDescent="0.35">
      <c r="A676" s="20">
        <v>46005</v>
      </c>
      <c r="B676">
        <v>8137333176</v>
      </c>
      <c r="C676" t="s">
        <v>611</v>
      </c>
      <c r="H676" s="1">
        <v>196315</v>
      </c>
      <c r="I676" s="1">
        <v>18810</v>
      </c>
      <c r="J676" s="1"/>
      <c r="L676" s="3">
        <v>109</v>
      </c>
      <c r="M676" s="17">
        <v>122239841888</v>
      </c>
      <c r="N676" t="s">
        <v>641</v>
      </c>
      <c r="O676" t="s">
        <v>16</v>
      </c>
      <c r="R676" s="3">
        <v>1</v>
      </c>
      <c r="S676" t="s">
        <v>18</v>
      </c>
      <c r="T676" s="2">
        <v>284375.46000000002</v>
      </c>
    </row>
    <row r="677" spans="1:20" hidden="1" x14ac:dyDescent="0.35">
      <c r="A677" s="20">
        <v>46011</v>
      </c>
      <c r="B677">
        <v>8137335314</v>
      </c>
      <c r="C677" t="s">
        <v>612</v>
      </c>
      <c r="H677" s="1">
        <v>226261.19</v>
      </c>
      <c r="I677" s="1">
        <v>19674.89</v>
      </c>
      <c r="J677" s="1"/>
      <c r="L677" s="8">
        <v>109</v>
      </c>
      <c r="M677" s="16" t="s">
        <v>638</v>
      </c>
      <c r="N677" t="s">
        <v>641</v>
      </c>
      <c r="O677" t="s">
        <v>16</v>
      </c>
      <c r="R677" s="3">
        <v>1</v>
      </c>
      <c r="S677" t="s">
        <v>18</v>
      </c>
      <c r="T677" s="2">
        <v>284375.46000000002</v>
      </c>
    </row>
    <row r="678" spans="1:20" hidden="1" x14ac:dyDescent="0.35">
      <c r="A678" s="20">
        <v>46012</v>
      </c>
      <c r="B678">
        <v>8137336050</v>
      </c>
      <c r="C678" t="s">
        <v>613</v>
      </c>
      <c r="H678" s="1">
        <v>39548.11</v>
      </c>
      <c r="I678" s="1">
        <v>3438.96</v>
      </c>
      <c r="J678" s="1"/>
      <c r="L678" s="8">
        <v>109</v>
      </c>
      <c r="M678" s="16" t="s">
        <v>639</v>
      </c>
      <c r="N678" t="s">
        <v>641</v>
      </c>
      <c r="O678" t="s">
        <v>16</v>
      </c>
      <c r="R678" s="3">
        <v>1</v>
      </c>
      <c r="S678" t="s">
        <v>18</v>
      </c>
      <c r="T678" s="2">
        <v>284375.46000000002</v>
      </c>
    </row>
    <row r="679" spans="1:20" hidden="1" x14ac:dyDescent="0.35">
      <c r="A679" s="20">
        <v>46015</v>
      </c>
      <c r="B679">
        <v>8137341013</v>
      </c>
      <c r="C679" t="s">
        <v>593</v>
      </c>
      <c r="H679" s="1">
        <v>21824.7</v>
      </c>
      <c r="I679" s="1">
        <v>1898</v>
      </c>
      <c r="J679" s="1"/>
      <c r="L679" s="8">
        <v>109</v>
      </c>
      <c r="M679" s="16" t="s">
        <v>623</v>
      </c>
      <c r="N679" t="s">
        <v>641</v>
      </c>
      <c r="O679" t="s">
        <v>16</v>
      </c>
      <c r="R679" s="3">
        <v>1</v>
      </c>
      <c r="S679" t="s">
        <v>18</v>
      </c>
      <c r="T679" s="2">
        <v>284375.46000000002</v>
      </c>
    </row>
    <row r="680" spans="1:20" hidden="1" x14ac:dyDescent="0.35">
      <c r="A680" s="20">
        <v>46019</v>
      </c>
      <c r="B680">
        <v>8137341617</v>
      </c>
      <c r="C680" t="s">
        <v>613</v>
      </c>
      <c r="H680" s="1">
        <v>35085.01</v>
      </c>
      <c r="I680" s="1">
        <v>3050.7</v>
      </c>
      <c r="J680" s="1"/>
      <c r="L680" s="8">
        <v>109</v>
      </c>
      <c r="M680" s="16" t="s">
        <v>639</v>
      </c>
      <c r="N680" t="s">
        <v>641</v>
      </c>
      <c r="O680" t="s">
        <v>16</v>
      </c>
      <c r="R680" s="3">
        <v>1</v>
      </c>
      <c r="S680" t="s">
        <v>18</v>
      </c>
      <c r="T680" s="2">
        <v>284375.46000000002</v>
      </c>
    </row>
    <row r="681" spans="1:20" hidden="1" x14ac:dyDescent="0.35">
      <c r="A681" s="20">
        <v>46019</v>
      </c>
      <c r="B681">
        <v>8137341983</v>
      </c>
      <c r="C681" t="s">
        <v>592</v>
      </c>
      <c r="H681" s="1">
        <v>15341</v>
      </c>
      <c r="I681" s="1">
        <v>1334</v>
      </c>
      <c r="J681" s="1"/>
      <c r="L681" s="8">
        <v>109</v>
      </c>
      <c r="M681" s="16" t="s">
        <v>622</v>
      </c>
      <c r="N681" t="s">
        <v>641</v>
      </c>
      <c r="O681" t="s">
        <v>16</v>
      </c>
      <c r="R681" s="3">
        <v>1</v>
      </c>
      <c r="S681" t="s">
        <v>18</v>
      </c>
      <c r="T681" s="2">
        <v>284375.46000000002</v>
      </c>
    </row>
    <row r="682" spans="1:20" hidden="1" x14ac:dyDescent="0.35">
      <c r="A682" s="20">
        <v>46019</v>
      </c>
      <c r="B682">
        <v>8137342020</v>
      </c>
      <c r="C682" t="s">
        <v>614</v>
      </c>
      <c r="H682" s="1">
        <v>10120</v>
      </c>
      <c r="I682" s="1">
        <v>880</v>
      </c>
      <c r="J682" s="1"/>
      <c r="L682" s="8">
        <v>109</v>
      </c>
      <c r="M682" s="16" t="s">
        <v>640</v>
      </c>
      <c r="N682" t="s">
        <v>641</v>
      </c>
      <c r="O682" t="s">
        <v>16</v>
      </c>
      <c r="R682" s="3">
        <v>1</v>
      </c>
      <c r="S682" t="s">
        <v>18</v>
      </c>
      <c r="T682" s="2">
        <v>284375.46000000002</v>
      </c>
    </row>
    <row r="683" spans="1:20" hidden="1" x14ac:dyDescent="0.35">
      <c r="A683" s="20">
        <v>46020</v>
      </c>
      <c r="B683">
        <v>8137343086</v>
      </c>
      <c r="C683" t="s">
        <v>615</v>
      </c>
      <c r="H683" s="1">
        <v>17077.5</v>
      </c>
      <c r="I683" s="1">
        <v>1485</v>
      </c>
      <c r="J683" s="1"/>
      <c r="L683" s="8">
        <v>109</v>
      </c>
      <c r="M683" s="16" t="s">
        <v>244</v>
      </c>
      <c r="N683" t="s">
        <v>641</v>
      </c>
      <c r="O683" t="s">
        <v>16</v>
      </c>
      <c r="R683" s="3">
        <v>1</v>
      </c>
      <c r="S683" t="s">
        <v>18</v>
      </c>
      <c r="T683" s="2">
        <v>284375.46000000002</v>
      </c>
    </row>
    <row r="684" spans="1:20" hidden="1" x14ac:dyDescent="0.35">
      <c r="A684" s="20">
        <v>45994</v>
      </c>
      <c r="B684">
        <v>8137322182</v>
      </c>
      <c r="C684" t="s">
        <v>642</v>
      </c>
      <c r="H684" s="1">
        <v>41467.85</v>
      </c>
      <c r="I684" s="1">
        <v>3606</v>
      </c>
      <c r="J684" s="1"/>
      <c r="L684" s="3">
        <v>110</v>
      </c>
      <c r="M684" s="16" t="s">
        <v>643</v>
      </c>
      <c r="N684" t="s">
        <v>644</v>
      </c>
      <c r="O684" t="s">
        <v>16</v>
      </c>
      <c r="R684" s="3">
        <v>1</v>
      </c>
      <c r="S684" t="s">
        <v>18</v>
      </c>
      <c r="T684" s="2">
        <v>25021.599999999999</v>
      </c>
    </row>
    <row r="685" spans="1:20" hidden="1" x14ac:dyDescent="0.35">
      <c r="A685" s="20">
        <v>45999</v>
      </c>
      <c r="B685">
        <v>8137330024</v>
      </c>
      <c r="C685" t="s">
        <v>91</v>
      </c>
      <c r="H685" s="1">
        <v>5750</v>
      </c>
      <c r="I685" s="1">
        <v>500</v>
      </c>
      <c r="J685" s="1"/>
      <c r="L685" s="3">
        <v>110</v>
      </c>
      <c r="M685" s="17" t="s">
        <v>276</v>
      </c>
      <c r="N685" t="s">
        <v>644</v>
      </c>
      <c r="O685" t="s">
        <v>16</v>
      </c>
      <c r="R685" s="3">
        <v>1</v>
      </c>
      <c r="S685" t="s">
        <v>18</v>
      </c>
      <c r="T685" s="2">
        <v>25021.599999999999</v>
      </c>
    </row>
    <row r="686" spans="1:20" hidden="1" x14ac:dyDescent="0.35">
      <c r="A686" s="20">
        <v>46000</v>
      </c>
      <c r="B686">
        <v>8137331118</v>
      </c>
      <c r="C686" t="s">
        <v>15</v>
      </c>
      <c r="H686" s="1">
        <v>18199.900000000001</v>
      </c>
      <c r="I686" s="1">
        <v>1582.6</v>
      </c>
      <c r="J686" s="1"/>
      <c r="L686" s="3">
        <v>110</v>
      </c>
      <c r="M686" s="16" t="s">
        <v>286</v>
      </c>
      <c r="N686" t="s">
        <v>644</v>
      </c>
      <c r="O686" t="s">
        <v>16</v>
      </c>
      <c r="R686" s="3">
        <v>1</v>
      </c>
      <c r="S686" t="s">
        <v>18</v>
      </c>
      <c r="T686" s="2">
        <v>25021.599999999999</v>
      </c>
    </row>
    <row r="687" spans="1:20" hidden="1" x14ac:dyDescent="0.35">
      <c r="A687" s="20">
        <v>46005</v>
      </c>
      <c r="B687">
        <v>8137333039</v>
      </c>
      <c r="C687" t="s">
        <v>104</v>
      </c>
      <c r="H687" s="1">
        <v>66432.05</v>
      </c>
      <c r="I687" s="1">
        <v>5777</v>
      </c>
      <c r="J687" s="1"/>
      <c r="L687" s="3">
        <v>110</v>
      </c>
      <c r="M687" s="16" t="s">
        <v>281</v>
      </c>
      <c r="N687" t="s">
        <v>644</v>
      </c>
      <c r="O687" t="s">
        <v>16</v>
      </c>
      <c r="R687" s="3">
        <v>1</v>
      </c>
      <c r="S687" t="s">
        <v>18</v>
      </c>
      <c r="T687" s="2">
        <v>25021.599999999999</v>
      </c>
    </row>
    <row r="688" spans="1:20" hidden="1" x14ac:dyDescent="0.35">
      <c r="A688" s="20">
        <v>46012</v>
      </c>
      <c r="B688">
        <v>8137335843</v>
      </c>
      <c r="C688" t="s">
        <v>642</v>
      </c>
      <c r="H688" s="1">
        <v>132377.65</v>
      </c>
      <c r="I688" s="1">
        <v>11511</v>
      </c>
      <c r="J688" s="1"/>
      <c r="L688" s="3">
        <v>110</v>
      </c>
      <c r="M688" s="16" t="s">
        <v>643</v>
      </c>
      <c r="N688" t="s">
        <v>644</v>
      </c>
      <c r="O688" t="s">
        <v>16</v>
      </c>
      <c r="R688" s="3">
        <v>1</v>
      </c>
      <c r="S688" t="s">
        <v>18</v>
      </c>
      <c r="T688" s="2">
        <v>25021.599999999999</v>
      </c>
    </row>
    <row r="689" spans="1:21" s="11" customFormat="1" hidden="1" x14ac:dyDescent="0.35">
      <c r="A689" s="21">
        <v>46019</v>
      </c>
      <c r="B689" s="11">
        <v>8137342006</v>
      </c>
      <c r="C689" s="11" t="s">
        <v>642</v>
      </c>
      <c r="H689" s="12">
        <v>23519.800000000003</v>
      </c>
      <c r="I689" s="12">
        <v>2045</v>
      </c>
      <c r="J689" s="12"/>
      <c r="L689" s="13">
        <v>110</v>
      </c>
      <c r="M689" s="23" t="s">
        <v>643</v>
      </c>
      <c r="N689" s="11" t="s">
        <v>644</v>
      </c>
      <c r="O689" s="11" t="s">
        <v>16</v>
      </c>
      <c r="R689" s="13">
        <v>1</v>
      </c>
      <c r="S689" s="11" t="s">
        <v>18</v>
      </c>
      <c r="T689" s="24">
        <v>25021.599999999999</v>
      </c>
    </row>
    <row r="690" spans="1:21" ht="43.5" x14ac:dyDescent="0.35">
      <c r="A690" s="45">
        <v>46023</v>
      </c>
      <c r="B690" s="46">
        <v>8137343897</v>
      </c>
      <c r="C690" s="46" t="s">
        <v>662</v>
      </c>
      <c r="D690" s="47" t="s">
        <v>656</v>
      </c>
      <c r="E690" s="48">
        <v>8801715426088</v>
      </c>
      <c r="F690" s="49" t="s">
        <v>653</v>
      </c>
      <c r="G690" s="50" t="s">
        <v>658</v>
      </c>
      <c r="H690" s="51">
        <v>54560.37</v>
      </c>
      <c r="I690" s="51">
        <v>236.84</v>
      </c>
      <c r="J690" s="51">
        <f>I690/K690</f>
        <v>4736.8</v>
      </c>
      <c r="K690" s="52">
        <v>0.05</v>
      </c>
      <c r="L690" s="53">
        <v>90</v>
      </c>
      <c r="M690" s="54" t="s">
        <v>664</v>
      </c>
      <c r="N690" s="50" t="s">
        <v>647</v>
      </c>
      <c r="O690" s="50" t="s">
        <v>663</v>
      </c>
      <c r="P690" s="50" t="s">
        <v>657</v>
      </c>
      <c r="Q690" s="50" t="s">
        <v>659</v>
      </c>
      <c r="R690" s="55">
        <v>1</v>
      </c>
      <c r="S690" s="50" t="s">
        <v>648</v>
      </c>
      <c r="T690" s="56">
        <v>503336.18000000011</v>
      </c>
      <c r="U690" s="50" t="s">
        <v>646</v>
      </c>
    </row>
    <row r="691" spans="1:21" x14ac:dyDescent="0.35">
      <c r="E691" s="41"/>
      <c r="F691" s="42"/>
      <c r="H691" s="7"/>
      <c r="I691" s="7"/>
      <c r="J691" s="7"/>
      <c r="L691" s="27"/>
      <c r="M691" s="17"/>
      <c r="R691" s="3"/>
      <c r="T691" s="1"/>
    </row>
    <row r="692" spans="1:21" x14ac:dyDescent="0.35">
      <c r="H692" s="7"/>
      <c r="I692" s="7"/>
      <c r="J692" s="7"/>
      <c r="L692" s="27"/>
      <c r="M692" s="17"/>
      <c r="R692" s="3"/>
      <c r="T692" s="1"/>
    </row>
    <row r="693" spans="1:21" x14ac:dyDescent="0.35">
      <c r="H693" s="7"/>
      <c r="I693" s="7"/>
      <c r="J693" s="7"/>
      <c r="L693" s="27"/>
      <c r="M693" s="17"/>
      <c r="R693" s="3"/>
      <c r="T693" s="1"/>
    </row>
    <row r="694" spans="1:21" x14ac:dyDescent="0.35">
      <c r="H694" s="7"/>
      <c r="I694" s="7"/>
      <c r="J694" s="7"/>
      <c r="L694" s="27"/>
      <c r="M694" s="17"/>
      <c r="R694" s="3"/>
      <c r="T694" s="1"/>
    </row>
    <row r="695" spans="1:21" x14ac:dyDescent="0.35">
      <c r="H695" s="7"/>
      <c r="I695" s="7"/>
      <c r="J695" s="7"/>
      <c r="L695" s="27"/>
      <c r="M695" s="17"/>
      <c r="R695" s="3"/>
      <c r="T695" s="1"/>
    </row>
    <row r="696" spans="1:21" x14ac:dyDescent="0.35">
      <c r="H696" s="7"/>
      <c r="I696" s="7"/>
      <c r="J696" s="7"/>
      <c r="L696" s="27"/>
      <c r="M696" s="17"/>
      <c r="R696" s="3"/>
      <c r="T696" s="1"/>
    </row>
    <row r="697" spans="1:21" x14ac:dyDescent="0.35">
      <c r="H697" s="7"/>
      <c r="I697" s="7"/>
      <c r="J697" s="7"/>
      <c r="L697" s="27"/>
      <c r="M697" s="17"/>
      <c r="R697" s="3"/>
      <c r="T697" s="1"/>
    </row>
    <row r="698" spans="1:21" x14ac:dyDescent="0.35">
      <c r="H698" s="7"/>
      <c r="I698" s="7"/>
      <c r="J698" s="7"/>
      <c r="L698" s="27"/>
      <c r="M698" s="17"/>
      <c r="R698" s="3"/>
      <c r="T698" s="1"/>
    </row>
    <row r="699" spans="1:21" x14ac:dyDescent="0.35">
      <c r="H699" s="7"/>
      <c r="I699" s="7"/>
      <c r="J699" s="7"/>
      <c r="L699" s="27"/>
      <c r="M699" s="17"/>
      <c r="R699" s="3"/>
      <c r="T699" s="1"/>
    </row>
    <row r="700" spans="1:21" x14ac:dyDescent="0.35">
      <c r="H700" s="7"/>
      <c r="I700" s="7"/>
      <c r="J700" s="7"/>
      <c r="L700" s="27"/>
      <c r="M700" s="17"/>
      <c r="R700" s="3"/>
      <c r="T700" s="1"/>
    </row>
    <row r="701" spans="1:21" x14ac:dyDescent="0.35">
      <c r="H701" s="7"/>
      <c r="I701" s="7"/>
      <c r="J701" s="7"/>
      <c r="L701" s="27"/>
      <c r="M701" s="17"/>
      <c r="R701" s="3"/>
      <c r="T701" s="1"/>
    </row>
    <row r="702" spans="1:21" x14ac:dyDescent="0.35">
      <c r="H702" s="7"/>
      <c r="I702" s="7"/>
      <c r="J702" s="7"/>
      <c r="L702" s="27"/>
      <c r="M702" s="17"/>
      <c r="R702" s="3"/>
      <c r="T702" s="1"/>
    </row>
    <row r="703" spans="1:21" x14ac:dyDescent="0.35">
      <c r="H703" s="7"/>
      <c r="I703" s="7"/>
      <c r="J703" s="7"/>
      <c r="L703" s="28"/>
      <c r="M703" s="17"/>
      <c r="R703" s="3"/>
      <c r="T703" s="1"/>
    </row>
    <row r="704" spans="1:21" x14ac:dyDescent="0.35">
      <c r="H704" s="7"/>
      <c r="I704" s="7"/>
      <c r="J704" s="7"/>
      <c r="L704" s="27"/>
      <c r="M704" s="17"/>
      <c r="R704" s="3"/>
      <c r="T704" s="1"/>
    </row>
    <row r="705" spans="8:20" x14ac:dyDescent="0.35">
      <c r="H705" s="7"/>
      <c r="I705" s="7"/>
      <c r="J705" s="7"/>
      <c r="K705" s="43"/>
      <c r="L705" s="27"/>
      <c r="M705" s="17"/>
      <c r="R705" s="3"/>
      <c r="T705" s="1"/>
    </row>
    <row r="706" spans="8:20" x14ac:dyDescent="0.35">
      <c r="H706" s="7"/>
      <c r="I706" s="7"/>
      <c r="J706" s="7"/>
      <c r="L706" s="27"/>
      <c r="M706" s="17"/>
      <c r="R706" s="3"/>
      <c r="T706" s="1"/>
    </row>
    <row r="707" spans="8:20" x14ac:dyDescent="0.35">
      <c r="H707" s="7"/>
      <c r="I707" s="7"/>
      <c r="J707" s="7"/>
      <c r="L707" s="27"/>
      <c r="M707" s="17"/>
      <c r="R707" s="3"/>
      <c r="T707" s="1"/>
    </row>
    <row r="708" spans="8:20" x14ac:dyDescent="0.35">
      <c r="H708" s="7"/>
      <c r="I708" s="7"/>
      <c r="J708" s="7"/>
      <c r="L708" s="27"/>
      <c r="M708" s="17"/>
      <c r="R708" s="3"/>
      <c r="T708" s="1"/>
    </row>
    <row r="709" spans="8:20" x14ac:dyDescent="0.35">
      <c r="H709" s="7"/>
      <c r="I709" s="7"/>
      <c r="J709" s="7"/>
      <c r="L709" s="27"/>
      <c r="M709" s="17"/>
      <c r="R709" s="3"/>
      <c r="T709" s="1"/>
    </row>
    <row r="710" spans="8:20" x14ac:dyDescent="0.35">
      <c r="H710" s="7"/>
      <c r="I710" s="7"/>
      <c r="J710" s="7"/>
      <c r="K710" s="43"/>
      <c r="L710" s="27"/>
      <c r="M710" s="17"/>
      <c r="R710" s="3"/>
      <c r="T710" s="1"/>
    </row>
    <row r="711" spans="8:20" x14ac:dyDescent="0.35">
      <c r="H711" s="7"/>
      <c r="I711" s="7"/>
      <c r="J711" s="7"/>
      <c r="L711" s="27"/>
      <c r="M711" s="17"/>
      <c r="R711" s="3"/>
      <c r="T711" s="1"/>
    </row>
    <row r="712" spans="8:20" x14ac:dyDescent="0.35">
      <c r="H712" s="7"/>
      <c r="I712" s="7"/>
      <c r="J712" s="7"/>
      <c r="L712" s="27"/>
      <c r="M712" s="17"/>
      <c r="R712" s="3"/>
      <c r="T712" s="1"/>
    </row>
    <row r="713" spans="8:20" x14ac:dyDescent="0.35">
      <c r="H713" s="7"/>
      <c r="I713" s="7"/>
      <c r="J713" s="7"/>
      <c r="L713" s="27"/>
      <c r="M713" s="17"/>
      <c r="R713" s="3"/>
      <c r="T713" s="1"/>
    </row>
    <row r="714" spans="8:20" x14ac:dyDescent="0.35">
      <c r="H714" s="7"/>
      <c r="I714" s="7"/>
      <c r="J714" s="7"/>
      <c r="L714" s="27"/>
      <c r="M714" s="17"/>
      <c r="R714" s="3"/>
      <c r="T714" s="1"/>
    </row>
    <row r="715" spans="8:20" x14ac:dyDescent="0.35">
      <c r="H715" s="7"/>
      <c r="I715" s="7"/>
      <c r="J715" s="7"/>
      <c r="L715" s="27"/>
      <c r="M715" s="17"/>
      <c r="R715" s="3"/>
      <c r="T715" s="1"/>
    </row>
    <row r="716" spans="8:20" x14ac:dyDescent="0.35">
      <c r="H716" s="7"/>
      <c r="I716" s="7"/>
      <c r="J716" s="7"/>
      <c r="L716" s="27"/>
      <c r="M716" s="17"/>
      <c r="R716" s="3"/>
      <c r="T716" s="1"/>
    </row>
    <row r="717" spans="8:20" x14ac:dyDescent="0.35">
      <c r="H717" s="7"/>
      <c r="I717" s="7"/>
      <c r="J717" s="7"/>
      <c r="L717" s="27"/>
      <c r="M717" s="17"/>
      <c r="R717" s="3"/>
      <c r="T717" s="1"/>
    </row>
    <row r="718" spans="8:20" x14ac:dyDescent="0.35">
      <c r="H718" s="7"/>
      <c r="I718" s="7"/>
      <c r="J718" s="7"/>
      <c r="L718" s="27"/>
      <c r="M718" s="17"/>
      <c r="R718" s="3"/>
      <c r="T718" s="1"/>
    </row>
    <row r="719" spans="8:20" x14ac:dyDescent="0.35">
      <c r="H719" s="7"/>
      <c r="I719" s="7"/>
      <c r="J719" s="7"/>
      <c r="L719" s="27"/>
      <c r="M719" s="17"/>
      <c r="R719" s="3"/>
      <c r="T719" s="1"/>
    </row>
    <row r="720" spans="8:20" x14ac:dyDescent="0.35">
      <c r="H720" s="7"/>
      <c r="I720" s="7"/>
      <c r="J720" s="7"/>
      <c r="L720" s="27"/>
      <c r="M720" s="17"/>
      <c r="R720" s="3"/>
      <c r="T720" s="1"/>
    </row>
    <row r="721" spans="8:20" x14ac:dyDescent="0.35">
      <c r="H721" s="7"/>
      <c r="I721" s="7"/>
      <c r="J721" s="7"/>
      <c r="L721" s="27"/>
      <c r="M721" s="17"/>
      <c r="R721" s="3"/>
      <c r="T721" s="1"/>
    </row>
    <row r="722" spans="8:20" x14ac:dyDescent="0.35">
      <c r="H722" s="7"/>
      <c r="I722" s="7"/>
      <c r="J722" s="7"/>
      <c r="L722" s="27"/>
      <c r="M722" s="17"/>
      <c r="R722" s="3"/>
      <c r="T722" s="1"/>
    </row>
    <row r="723" spans="8:20" x14ac:dyDescent="0.35">
      <c r="H723" s="7"/>
      <c r="I723" s="7"/>
      <c r="J723" s="7"/>
      <c r="L723" s="27"/>
      <c r="M723" s="17"/>
      <c r="R723" s="3"/>
      <c r="T723" s="1"/>
    </row>
    <row r="724" spans="8:20" x14ac:dyDescent="0.35">
      <c r="H724" s="7"/>
      <c r="I724" s="7"/>
      <c r="J724" s="7"/>
      <c r="L724" s="27"/>
      <c r="M724" s="17"/>
      <c r="R724" s="3"/>
      <c r="T724" s="1"/>
    </row>
    <row r="725" spans="8:20" x14ac:dyDescent="0.35">
      <c r="H725" s="7"/>
      <c r="I725" s="7"/>
      <c r="J725" s="7"/>
      <c r="L725" s="27"/>
      <c r="M725" s="17"/>
      <c r="R725" s="3"/>
      <c r="T725" s="1"/>
    </row>
    <row r="726" spans="8:20" x14ac:dyDescent="0.35">
      <c r="H726" s="7"/>
      <c r="I726" s="7"/>
      <c r="J726" s="7"/>
      <c r="L726" s="27"/>
      <c r="M726" s="17"/>
      <c r="R726" s="3"/>
      <c r="T726" s="1"/>
    </row>
    <row r="727" spans="8:20" x14ac:dyDescent="0.35">
      <c r="H727" s="7"/>
      <c r="I727" s="7"/>
      <c r="J727" s="7"/>
      <c r="L727" s="27"/>
      <c r="M727" s="17"/>
      <c r="R727" s="3"/>
      <c r="T727" s="1"/>
    </row>
    <row r="728" spans="8:20" x14ac:dyDescent="0.35">
      <c r="H728" s="7"/>
      <c r="I728" s="7"/>
      <c r="J728" s="7"/>
      <c r="L728" s="27"/>
      <c r="M728" s="17"/>
      <c r="R728" s="3"/>
      <c r="T728" s="1"/>
    </row>
    <row r="729" spans="8:20" x14ac:dyDescent="0.35">
      <c r="H729" s="7"/>
      <c r="I729" s="7"/>
      <c r="J729" s="7"/>
      <c r="L729" s="27"/>
      <c r="M729" s="17"/>
      <c r="R729" s="3"/>
      <c r="T729" s="1"/>
    </row>
    <row r="730" spans="8:20" x14ac:dyDescent="0.35">
      <c r="H730" s="7"/>
      <c r="I730" s="7"/>
      <c r="J730" s="7"/>
      <c r="L730" s="27"/>
      <c r="M730" s="17"/>
      <c r="R730" s="3"/>
      <c r="T730" s="1"/>
    </row>
    <row r="731" spans="8:20" x14ac:dyDescent="0.35">
      <c r="H731" s="7"/>
      <c r="I731" s="7"/>
      <c r="J731" s="7"/>
      <c r="L731" s="27"/>
      <c r="M731" s="17"/>
      <c r="R731" s="3"/>
      <c r="T731" s="1"/>
    </row>
    <row r="732" spans="8:20" x14ac:dyDescent="0.35">
      <c r="H732" s="7"/>
      <c r="I732" s="7"/>
      <c r="J732" s="7"/>
      <c r="L732" s="27"/>
      <c r="M732" s="17"/>
      <c r="R732" s="3"/>
      <c r="T732" s="1"/>
    </row>
    <row r="733" spans="8:20" x14ac:dyDescent="0.35">
      <c r="H733" s="7"/>
      <c r="I733" s="7"/>
      <c r="J733" s="7"/>
      <c r="L733" s="27"/>
      <c r="M733" s="17"/>
      <c r="R733" s="3"/>
      <c r="T733" s="1"/>
    </row>
    <row r="734" spans="8:20" x14ac:dyDescent="0.35">
      <c r="H734" s="7"/>
      <c r="I734" s="7"/>
      <c r="J734" s="7"/>
      <c r="L734" s="27"/>
      <c r="M734" s="17"/>
      <c r="R734" s="3"/>
      <c r="T734" s="1"/>
    </row>
    <row r="735" spans="8:20" x14ac:dyDescent="0.35">
      <c r="H735" s="7"/>
      <c r="I735" s="7"/>
      <c r="J735" s="7"/>
      <c r="L735" s="27"/>
      <c r="M735" s="17"/>
      <c r="R735" s="3"/>
      <c r="T735" s="1"/>
    </row>
    <row r="736" spans="8:20" x14ac:dyDescent="0.35">
      <c r="H736" s="7"/>
      <c r="I736" s="7"/>
      <c r="J736" s="7"/>
      <c r="L736" s="27"/>
      <c r="M736" s="17"/>
      <c r="R736" s="3"/>
      <c r="T736" s="1"/>
    </row>
    <row r="737" spans="8:20" x14ac:dyDescent="0.35">
      <c r="H737" s="7"/>
      <c r="I737" s="7"/>
      <c r="J737" s="7"/>
      <c r="L737" s="27"/>
      <c r="M737" s="17"/>
      <c r="R737" s="3"/>
      <c r="T737" s="1"/>
    </row>
    <row r="738" spans="8:20" x14ac:dyDescent="0.35">
      <c r="H738" s="7"/>
      <c r="I738" s="7"/>
      <c r="J738" s="7"/>
      <c r="L738" s="27"/>
      <c r="M738" s="17"/>
      <c r="R738" s="3"/>
      <c r="T738" s="1"/>
    </row>
    <row r="739" spans="8:20" x14ac:dyDescent="0.35">
      <c r="H739" s="7"/>
      <c r="I739" s="7"/>
      <c r="J739" s="7"/>
      <c r="L739" s="27"/>
      <c r="M739" s="17"/>
      <c r="R739" s="3"/>
      <c r="T739" s="1"/>
    </row>
    <row r="740" spans="8:20" x14ac:dyDescent="0.35">
      <c r="H740" s="7"/>
      <c r="I740" s="7"/>
      <c r="J740" s="7"/>
      <c r="L740" s="27"/>
      <c r="M740" s="17"/>
      <c r="R740" s="3"/>
      <c r="T740" s="1"/>
    </row>
    <row r="741" spans="8:20" x14ac:dyDescent="0.35">
      <c r="H741" s="7"/>
      <c r="I741" s="7"/>
      <c r="J741" s="7"/>
      <c r="L741" s="27"/>
      <c r="M741" s="17"/>
      <c r="R741" s="3"/>
      <c r="T741" s="1"/>
    </row>
    <row r="742" spans="8:20" x14ac:dyDescent="0.35">
      <c r="H742" s="7"/>
      <c r="I742" s="7"/>
      <c r="J742" s="7"/>
      <c r="L742" s="27"/>
      <c r="M742" s="17"/>
      <c r="R742" s="3"/>
      <c r="T742" s="1"/>
    </row>
    <row r="743" spans="8:20" x14ac:dyDescent="0.35">
      <c r="H743" s="7"/>
      <c r="I743" s="7"/>
      <c r="J743" s="7"/>
      <c r="L743" s="27"/>
      <c r="M743" s="17"/>
      <c r="R743" s="3"/>
      <c r="T743" s="1"/>
    </row>
    <row r="744" spans="8:20" x14ac:dyDescent="0.35">
      <c r="H744" s="7"/>
      <c r="I744" s="7"/>
      <c r="J744" s="7"/>
      <c r="L744" s="27"/>
      <c r="M744" s="17"/>
      <c r="R744" s="3"/>
      <c r="T744" s="1"/>
    </row>
    <row r="745" spans="8:20" x14ac:dyDescent="0.35">
      <c r="H745" s="7"/>
      <c r="I745" s="7"/>
      <c r="J745" s="7"/>
      <c r="L745" s="27"/>
      <c r="M745" s="17"/>
      <c r="R745" s="3"/>
      <c r="T745" s="1"/>
    </row>
    <row r="746" spans="8:20" x14ac:dyDescent="0.35">
      <c r="H746" s="7"/>
      <c r="I746" s="7"/>
      <c r="J746" s="7"/>
      <c r="L746" s="27"/>
      <c r="M746" s="17"/>
      <c r="R746" s="3"/>
      <c r="T746" s="1"/>
    </row>
    <row r="747" spans="8:20" x14ac:dyDescent="0.35">
      <c r="H747" s="7"/>
      <c r="I747" s="7"/>
      <c r="J747" s="7"/>
      <c r="L747" s="27"/>
      <c r="M747" s="17"/>
      <c r="R747" s="3"/>
      <c r="T747" s="1"/>
    </row>
    <row r="748" spans="8:20" x14ac:dyDescent="0.35">
      <c r="H748" s="7"/>
      <c r="I748" s="7"/>
      <c r="J748" s="7"/>
      <c r="L748" s="27"/>
      <c r="M748" s="17"/>
      <c r="R748" s="3"/>
      <c r="T748" s="1"/>
    </row>
    <row r="749" spans="8:20" x14ac:dyDescent="0.35">
      <c r="H749" s="7"/>
      <c r="I749" s="7"/>
      <c r="J749" s="7"/>
      <c r="L749" s="27"/>
      <c r="M749" s="17"/>
      <c r="R749" s="3"/>
      <c r="T749" s="1"/>
    </row>
    <row r="750" spans="8:20" x14ac:dyDescent="0.35">
      <c r="H750" s="7"/>
      <c r="I750" s="7"/>
      <c r="J750" s="7"/>
      <c r="L750" s="27"/>
      <c r="M750" s="17"/>
      <c r="R750" s="3"/>
      <c r="T750" s="1"/>
    </row>
    <row r="751" spans="8:20" x14ac:dyDescent="0.35">
      <c r="H751" s="7"/>
      <c r="I751" s="7"/>
      <c r="J751" s="7"/>
      <c r="L751" s="27"/>
      <c r="M751" s="17"/>
      <c r="R751" s="3"/>
      <c r="T751" s="1"/>
    </row>
    <row r="752" spans="8:20" x14ac:dyDescent="0.35">
      <c r="H752" s="7"/>
      <c r="I752" s="7"/>
      <c r="J752" s="7"/>
      <c r="L752" s="27"/>
      <c r="M752" s="17"/>
      <c r="R752" s="3"/>
      <c r="T752" s="1"/>
    </row>
    <row r="753" spans="8:20" x14ac:dyDescent="0.35">
      <c r="H753" s="7"/>
      <c r="I753" s="7"/>
      <c r="J753" s="7"/>
      <c r="L753" s="27"/>
      <c r="M753" s="17"/>
      <c r="R753" s="3"/>
      <c r="T753" s="1"/>
    </row>
    <row r="754" spans="8:20" x14ac:dyDescent="0.35">
      <c r="H754" s="7"/>
      <c r="I754" s="7"/>
      <c r="J754" s="7"/>
      <c r="L754" s="27"/>
      <c r="M754" s="17"/>
      <c r="R754" s="3"/>
      <c r="T754" s="1"/>
    </row>
    <row r="755" spans="8:20" x14ac:dyDescent="0.35">
      <c r="H755" s="7"/>
      <c r="I755" s="7"/>
      <c r="J755" s="7"/>
      <c r="L755" s="27"/>
      <c r="M755" s="17"/>
      <c r="R755" s="3"/>
      <c r="T755" s="1"/>
    </row>
    <row r="756" spans="8:20" x14ac:dyDescent="0.35">
      <c r="H756" s="7"/>
      <c r="I756" s="7"/>
      <c r="J756" s="7"/>
      <c r="L756" s="27"/>
      <c r="M756" s="17"/>
      <c r="R756" s="3"/>
      <c r="T756" s="1"/>
    </row>
    <row r="757" spans="8:20" x14ac:dyDescent="0.35">
      <c r="H757" s="7"/>
      <c r="I757" s="7"/>
      <c r="J757" s="7"/>
      <c r="L757" s="27"/>
      <c r="M757" s="17"/>
      <c r="R757" s="3"/>
      <c r="T757" s="1"/>
    </row>
    <row r="758" spans="8:20" x14ac:dyDescent="0.35">
      <c r="H758" s="7"/>
      <c r="I758" s="7"/>
      <c r="J758" s="7"/>
      <c r="L758" s="27"/>
      <c r="M758" s="17"/>
      <c r="R758" s="3"/>
      <c r="T758" s="1"/>
    </row>
    <row r="759" spans="8:20" x14ac:dyDescent="0.35">
      <c r="H759" s="7"/>
      <c r="I759" s="7"/>
      <c r="J759" s="7"/>
      <c r="L759" s="27"/>
      <c r="M759" s="17"/>
      <c r="R759" s="3"/>
      <c r="T759" s="1"/>
    </row>
    <row r="760" spans="8:20" x14ac:dyDescent="0.35">
      <c r="H760" s="7"/>
      <c r="I760" s="7"/>
      <c r="J760" s="7"/>
      <c r="L760" s="27"/>
      <c r="M760" s="17"/>
      <c r="R760" s="3"/>
      <c r="T760" s="1"/>
    </row>
    <row r="761" spans="8:20" x14ac:dyDescent="0.35">
      <c r="H761" s="7"/>
      <c r="I761" s="7"/>
      <c r="J761" s="7"/>
      <c r="L761" s="27"/>
      <c r="M761" s="17"/>
      <c r="R761" s="3"/>
      <c r="T761" s="1"/>
    </row>
    <row r="762" spans="8:20" x14ac:dyDescent="0.35">
      <c r="H762" s="7"/>
      <c r="I762" s="7"/>
      <c r="J762" s="7"/>
      <c r="L762" s="27"/>
      <c r="M762" s="17"/>
      <c r="R762" s="3"/>
      <c r="T762" s="1"/>
    </row>
    <row r="763" spans="8:20" x14ac:dyDescent="0.35">
      <c r="H763" s="7"/>
      <c r="I763" s="7"/>
      <c r="J763" s="7"/>
      <c r="L763" s="27"/>
      <c r="M763" s="17"/>
      <c r="R763" s="3"/>
      <c r="T763" s="1"/>
    </row>
    <row r="764" spans="8:20" x14ac:dyDescent="0.35">
      <c r="H764" s="7"/>
      <c r="I764" s="7"/>
      <c r="J764" s="7"/>
      <c r="L764" s="27"/>
      <c r="M764" s="17"/>
      <c r="R764" s="3"/>
      <c r="T764" s="1"/>
    </row>
    <row r="765" spans="8:20" x14ac:dyDescent="0.35">
      <c r="H765" s="7"/>
      <c r="I765" s="7"/>
      <c r="J765" s="7"/>
      <c r="L765" s="27"/>
      <c r="M765" s="17"/>
      <c r="R765" s="3"/>
      <c r="T765" s="1"/>
    </row>
    <row r="766" spans="8:20" x14ac:dyDescent="0.35">
      <c r="H766" s="7"/>
      <c r="I766" s="7"/>
      <c r="J766" s="7"/>
      <c r="L766" s="27"/>
      <c r="M766" s="17"/>
      <c r="R766" s="3"/>
      <c r="T766" s="1"/>
    </row>
    <row r="767" spans="8:20" x14ac:dyDescent="0.35">
      <c r="H767" s="7"/>
      <c r="I767" s="7"/>
      <c r="J767" s="7"/>
      <c r="L767" s="27"/>
      <c r="M767" s="17"/>
      <c r="R767" s="3"/>
      <c r="T767" s="1"/>
    </row>
    <row r="768" spans="8:20" x14ac:dyDescent="0.35">
      <c r="H768" s="7"/>
      <c r="I768" s="7"/>
      <c r="J768" s="7"/>
      <c r="L768" s="27"/>
      <c r="M768" s="17"/>
      <c r="R768" s="3"/>
      <c r="T768" s="1"/>
    </row>
    <row r="769" spans="8:20" x14ac:dyDescent="0.35">
      <c r="H769" s="7"/>
      <c r="I769" s="7"/>
      <c r="J769" s="7"/>
      <c r="L769" s="27"/>
      <c r="M769" s="17"/>
      <c r="R769" s="3"/>
      <c r="T769" s="1"/>
    </row>
    <row r="770" spans="8:20" x14ac:dyDescent="0.35">
      <c r="H770" s="7"/>
      <c r="I770" s="7"/>
      <c r="J770" s="7"/>
      <c r="L770" s="27"/>
      <c r="M770" s="17"/>
      <c r="R770" s="3"/>
      <c r="T770" s="1"/>
    </row>
    <row r="771" spans="8:20" x14ac:dyDescent="0.35">
      <c r="H771" s="7"/>
      <c r="I771" s="7"/>
      <c r="J771" s="7"/>
      <c r="L771" s="27"/>
      <c r="M771" s="17"/>
      <c r="R771" s="3"/>
      <c r="T771" s="1"/>
    </row>
    <row r="772" spans="8:20" x14ac:dyDescent="0.35">
      <c r="H772" s="7"/>
      <c r="I772" s="7"/>
      <c r="J772" s="7"/>
      <c r="L772" s="27"/>
      <c r="M772" s="17"/>
      <c r="R772" s="3"/>
      <c r="T772" s="1"/>
    </row>
    <row r="773" spans="8:20" x14ac:dyDescent="0.35">
      <c r="H773" s="7"/>
      <c r="I773" s="7"/>
      <c r="J773" s="7"/>
      <c r="L773" s="27"/>
      <c r="M773" s="17"/>
      <c r="R773" s="3"/>
      <c r="T773" s="1"/>
    </row>
    <row r="774" spans="8:20" x14ac:dyDescent="0.35">
      <c r="H774" s="7"/>
      <c r="I774" s="7"/>
      <c r="J774" s="7"/>
      <c r="L774" s="27"/>
      <c r="M774" s="17"/>
      <c r="R774" s="3"/>
      <c r="T774" s="1"/>
    </row>
    <row r="775" spans="8:20" x14ac:dyDescent="0.35">
      <c r="H775" s="7"/>
      <c r="I775" s="7"/>
      <c r="J775" s="7"/>
      <c r="L775" s="27"/>
      <c r="M775" s="17"/>
      <c r="R775" s="3"/>
      <c r="T775" s="1"/>
    </row>
    <row r="776" spans="8:20" x14ac:dyDescent="0.35">
      <c r="H776" s="7"/>
      <c r="I776" s="7"/>
      <c r="J776" s="7"/>
      <c r="L776" s="27"/>
      <c r="M776" s="17"/>
      <c r="R776" s="3"/>
      <c r="T776" s="1"/>
    </row>
    <row r="777" spans="8:20" x14ac:dyDescent="0.35">
      <c r="H777" s="7"/>
      <c r="I777" s="7"/>
      <c r="J777" s="7"/>
      <c r="L777" s="27"/>
      <c r="M777" s="17"/>
      <c r="R777" s="3"/>
      <c r="T777" s="1"/>
    </row>
    <row r="778" spans="8:20" x14ac:dyDescent="0.35">
      <c r="H778" s="7"/>
      <c r="I778" s="7"/>
      <c r="J778" s="7"/>
      <c r="L778" s="27"/>
      <c r="M778" s="17"/>
      <c r="R778" s="3"/>
      <c r="T778" s="1"/>
    </row>
    <row r="779" spans="8:20" x14ac:dyDescent="0.35">
      <c r="H779" s="7"/>
      <c r="I779" s="7"/>
      <c r="J779" s="7"/>
      <c r="L779" s="27"/>
      <c r="M779" s="17"/>
      <c r="R779" s="3"/>
      <c r="T779" s="1"/>
    </row>
    <row r="780" spans="8:20" x14ac:dyDescent="0.35">
      <c r="H780" s="7"/>
      <c r="I780" s="7"/>
      <c r="J780" s="7"/>
      <c r="L780" s="27"/>
      <c r="M780" s="17"/>
      <c r="R780" s="3"/>
      <c r="T780" s="1"/>
    </row>
    <row r="781" spans="8:20" x14ac:dyDescent="0.35">
      <c r="H781" s="7"/>
      <c r="I781" s="7"/>
      <c r="J781" s="7"/>
      <c r="L781" s="27"/>
      <c r="M781" s="17"/>
      <c r="R781" s="3"/>
      <c r="T781" s="1"/>
    </row>
    <row r="782" spans="8:20" x14ac:dyDescent="0.35">
      <c r="H782" s="7"/>
      <c r="I782" s="7"/>
      <c r="J782" s="7"/>
      <c r="L782" s="27"/>
      <c r="M782" s="17"/>
      <c r="R782" s="3"/>
      <c r="T782" s="1"/>
    </row>
    <row r="783" spans="8:20" x14ac:dyDescent="0.35">
      <c r="H783" s="7"/>
      <c r="I783" s="7"/>
      <c r="J783" s="7"/>
      <c r="L783" s="27"/>
      <c r="M783" s="17"/>
      <c r="R783" s="3"/>
      <c r="T783" s="1"/>
    </row>
    <row r="784" spans="8:20" x14ac:dyDescent="0.35">
      <c r="H784" s="7"/>
      <c r="I784" s="7"/>
      <c r="J784" s="7"/>
      <c r="L784" s="27"/>
      <c r="M784" s="17"/>
      <c r="R784" s="3"/>
      <c r="T784" s="1"/>
    </row>
    <row r="785" spans="8:20" x14ac:dyDescent="0.35">
      <c r="H785" s="7"/>
      <c r="I785" s="7"/>
      <c r="J785" s="7"/>
      <c r="L785" s="27"/>
      <c r="M785" s="17"/>
      <c r="R785" s="3"/>
      <c r="T785" s="1"/>
    </row>
    <row r="786" spans="8:20" x14ac:dyDescent="0.35">
      <c r="H786" s="7"/>
      <c r="I786" s="7"/>
      <c r="J786" s="7"/>
      <c r="L786" s="27"/>
      <c r="M786" s="17"/>
      <c r="R786" s="3"/>
      <c r="T786" s="1"/>
    </row>
    <row r="787" spans="8:20" x14ac:dyDescent="0.35">
      <c r="H787" s="7"/>
      <c r="I787" s="7"/>
      <c r="J787" s="7"/>
      <c r="L787" s="27"/>
      <c r="M787" s="17"/>
      <c r="R787" s="3"/>
      <c r="T787" s="1"/>
    </row>
    <row r="788" spans="8:20" x14ac:dyDescent="0.35">
      <c r="H788" s="7"/>
      <c r="I788" s="7"/>
      <c r="J788" s="7"/>
      <c r="L788" s="27"/>
      <c r="M788" s="17"/>
      <c r="R788" s="3"/>
      <c r="T788" s="1"/>
    </row>
    <row r="789" spans="8:20" x14ac:dyDescent="0.35">
      <c r="H789" s="7"/>
      <c r="I789" s="7"/>
      <c r="J789" s="7"/>
      <c r="L789" s="27"/>
      <c r="M789" s="17"/>
      <c r="R789" s="3"/>
      <c r="T789" s="1"/>
    </row>
    <row r="790" spans="8:20" x14ac:dyDescent="0.35">
      <c r="H790" s="7"/>
      <c r="I790" s="7"/>
      <c r="J790" s="7"/>
      <c r="L790" s="27"/>
      <c r="M790" s="17"/>
      <c r="R790" s="3"/>
      <c r="T790" s="1"/>
    </row>
    <row r="791" spans="8:20" x14ac:dyDescent="0.35">
      <c r="H791" s="7"/>
      <c r="I791" s="7"/>
      <c r="J791" s="7"/>
      <c r="L791" s="27"/>
      <c r="M791" s="17"/>
      <c r="R791" s="3"/>
      <c r="T791" s="1"/>
    </row>
    <row r="792" spans="8:20" x14ac:dyDescent="0.35">
      <c r="H792" s="7"/>
      <c r="I792" s="7"/>
      <c r="J792" s="7"/>
      <c r="L792" s="27"/>
      <c r="M792" s="17"/>
      <c r="R792" s="3"/>
      <c r="T792" s="1"/>
    </row>
    <row r="793" spans="8:20" x14ac:dyDescent="0.35">
      <c r="H793" s="7"/>
      <c r="I793" s="7"/>
      <c r="J793" s="7"/>
      <c r="L793" s="27"/>
      <c r="M793" s="17"/>
      <c r="R793" s="3"/>
      <c r="T793" s="1"/>
    </row>
    <row r="794" spans="8:20" x14ac:dyDescent="0.35">
      <c r="H794" s="7"/>
      <c r="I794" s="7"/>
      <c r="J794" s="7"/>
      <c r="L794" s="27"/>
      <c r="M794" s="17"/>
      <c r="R794" s="3"/>
      <c r="T794" s="1"/>
    </row>
    <row r="795" spans="8:20" x14ac:dyDescent="0.35">
      <c r="H795" s="7"/>
      <c r="I795" s="7"/>
      <c r="J795" s="7"/>
      <c r="L795" s="27"/>
      <c r="M795" s="17"/>
      <c r="R795" s="3"/>
      <c r="T795" s="1"/>
    </row>
    <row r="796" spans="8:20" x14ac:dyDescent="0.35">
      <c r="H796" s="7"/>
      <c r="I796" s="7"/>
      <c r="J796" s="7"/>
      <c r="L796" s="27"/>
      <c r="M796" s="17"/>
      <c r="R796" s="3"/>
      <c r="T796" s="1"/>
    </row>
    <row r="797" spans="8:20" x14ac:dyDescent="0.35">
      <c r="H797" s="7"/>
      <c r="I797" s="7"/>
      <c r="J797" s="7"/>
      <c r="L797" s="27"/>
      <c r="M797" s="17"/>
      <c r="R797" s="3"/>
      <c r="T797" s="1"/>
    </row>
    <row r="798" spans="8:20" x14ac:dyDescent="0.35">
      <c r="H798" s="7"/>
      <c r="I798" s="7"/>
      <c r="J798" s="7"/>
      <c r="L798" s="27"/>
      <c r="M798" s="17"/>
      <c r="R798" s="3"/>
      <c r="T798" s="1"/>
    </row>
    <row r="799" spans="8:20" x14ac:dyDescent="0.35">
      <c r="H799" s="7"/>
      <c r="I799" s="7"/>
      <c r="J799" s="7"/>
      <c r="L799" s="27"/>
      <c r="M799" s="17"/>
      <c r="R799" s="3"/>
      <c r="T799" s="1"/>
    </row>
    <row r="800" spans="8:20" x14ac:dyDescent="0.35">
      <c r="H800" s="7"/>
      <c r="I800" s="7"/>
      <c r="J800" s="7"/>
      <c r="L800" s="27"/>
      <c r="M800" s="17"/>
      <c r="R800" s="3"/>
      <c r="T800" s="1"/>
    </row>
    <row r="801" spans="8:20" x14ac:dyDescent="0.35">
      <c r="H801" s="7"/>
      <c r="I801" s="7"/>
      <c r="J801" s="7"/>
      <c r="L801" s="27"/>
      <c r="M801" s="17"/>
      <c r="R801" s="3"/>
      <c r="T801" s="1"/>
    </row>
    <row r="802" spans="8:20" x14ac:dyDescent="0.35">
      <c r="H802" s="7"/>
      <c r="I802" s="7"/>
      <c r="J802" s="7"/>
      <c r="L802" s="27"/>
      <c r="M802" s="17"/>
      <c r="R802" s="3"/>
      <c r="T802" s="1"/>
    </row>
    <row r="803" spans="8:20" x14ac:dyDescent="0.35">
      <c r="H803" s="7"/>
      <c r="I803" s="7"/>
      <c r="J803" s="7"/>
      <c r="L803" s="27"/>
      <c r="M803" s="17"/>
      <c r="R803" s="3"/>
      <c r="T803" s="1"/>
    </row>
    <row r="804" spans="8:20" x14ac:dyDescent="0.35">
      <c r="H804" s="7"/>
      <c r="I804" s="7"/>
      <c r="J804" s="7"/>
      <c r="L804" s="27"/>
      <c r="M804" s="17"/>
      <c r="R804" s="3"/>
      <c r="T804" s="1"/>
    </row>
    <row r="805" spans="8:20" x14ac:dyDescent="0.35">
      <c r="H805" s="7"/>
      <c r="I805" s="7"/>
      <c r="J805" s="7"/>
      <c r="L805" s="27"/>
      <c r="M805" s="17"/>
      <c r="R805" s="3"/>
      <c r="T805" s="1"/>
    </row>
    <row r="806" spans="8:20" x14ac:dyDescent="0.35">
      <c r="H806" s="7"/>
      <c r="I806" s="7"/>
      <c r="J806" s="7"/>
      <c r="L806" s="27"/>
      <c r="M806" s="17"/>
      <c r="R806" s="3"/>
      <c r="T806" s="1"/>
    </row>
    <row r="807" spans="8:20" x14ac:dyDescent="0.35">
      <c r="H807" s="7"/>
      <c r="I807" s="7"/>
      <c r="J807" s="7"/>
      <c r="L807" s="27"/>
      <c r="M807" s="17"/>
      <c r="R807" s="3"/>
      <c r="T807" s="1"/>
    </row>
    <row r="808" spans="8:20" x14ac:dyDescent="0.35">
      <c r="H808" s="7"/>
      <c r="I808" s="7"/>
      <c r="J808" s="7"/>
      <c r="L808" s="27"/>
      <c r="M808" s="17"/>
      <c r="R808" s="3"/>
      <c r="T808" s="1"/>
    </row>
    <row r="809" spans="8:20" x14ac:dyDescent="0.35">
      <c r="H809" s="7"/>
      <c r="I809" s="7"/>
      <c r="J809" s="7"/>
      <c r="L809" s="27"/>
      <c r="M809" s="17"/>
      <c r="R809" s="3"/>
      <c r="T809" s="1"/>
    </row>
    <row r="810" spans="8:20" x14ac:dyDescent="0.35">
      <c r="H810" s="7"/>
      <c r="I810" s="7"/>
      <c r="J810" s="7"/>
      <c r="L810" s="27"/>
      <c r="M810" s="17"/>
      <c r="R810" s="3"/>
      <c r="T810" s="1"/>
    </row>
    <row r="811" spans="8:20" x14ac:dyDescent="0.35">
      <c r="H811" s="7"/>
      <c r="I811" s="7"/>
      <c r="J811" s="7"/>
      <c r="L811" s="27"/>
      <c r="M811" s="17"/>
      <c r="R811" s="3"/>
      <c r="T811" s="1"/>
    </row>
    <row r="812" spans="8:20" x14ac:dyDescent="0.35">
      <c r="H812" s="7"/>
      <c r="I812" s="7"/>
      <c r="J812" s="7"/>
      <c r="L812" s="27"/>
      <c r="M812" s="17"/>
      <c r="R812" s="3"/>
      <c r="T812" s="1"/>
    </row>
    <row r="813" spans="8:20" x14ac:dyDescent="0.35">
      <c r="H813" s="7"/>
      <c r="I813" s="7"/>
      <c r="J813" s="7"/>
      <c r="L813" s="27"/>
      <c r="M813" s="17"/>
      <c r="R813" s="3"/>
      <c r="T813" s="1"/>
    </row>
    <row r="814" spans="8:20" x14ac:dyDescent="0.35">
      <c r="H814" s="7"/>
      <c r="I814" s="7"/>
      <c r="J814" s="7"/>
      <c r="L814" s="27"/>
      <c r="M814" s="17"/>
      <c r="R814" s="3"/>
      <c r="T814" s="1"/>
    </row>
    <row r="815" spans="8:20" x14ac:dyDescent="0.35">
      <c r="H815" s="7"/>
      <c r="I815" s="7"/>
      <c r="J815" s="7"/>
      <c r="L815" s="27"/>
      <c r="M815" s="17"/>
      <c r="R815" s="3"/>
      <c r="T815" s="1"/>
    </row>
    <row r="816" spans="8:20" x14ac:dyDescent="0.35">
      <c r="H816" s="7"/>
      <c r="I816" s="7"/>
      <c r="J816" s="7"/>
      <c r="L816" s="27"/>
      <c r="M816" s="17"/>
      <c r="R816" s="3"/>
      <c r="T816" s="1"/>
    </row>
    <row r="817" spans="8:20" x14ac:dyDescent="0.35">
      <c r="H817" s="7"/>
      <c r="I817" s="7"/>
      <c r="J817" s="7"/>
      <c r="L817" s="27"/>
      <c r="M817" s="17"/>
      <c r="R817" s="3"/>
      <c r="T817" s="1"/>
    </row>
    <row r="818" spans="8:20" x14ac:dyDescent="0.35">
      <c r="H818" s="7"/>
      <c r="I818" s="7"/>
      <c r="J818" s="7"/>
      <c r="L818" s="27"/>
      <c r="M818" s="17"/>
      <c r="R818" s="3"/>
      <c r="T818" s="1"/>
    </row>
    <row r="819" spans="8:20" x14ac:dyDescent="0.35">
      <c r="H819" s="7"/>
      <c r="I819" s="7"/>
      <c r="J819" s="7"/>
      <c r="L819" s="27"/>
      <c r="M819" s="17"/>
      <c r="R819" s="3"/>
      <c r="T819" s="1"/>
    </row>
    <row r="820" spans="8:20" x14ac:dyDescent="0.35">
      <c r="H820" s="7"/>
      <c r="I820" s="7"/>
      <c r="J820" s="7"/>
      <c r="L820" s="27"/>
      <c r="M820" s="17"/>
      <c r="R820" s="3"/>
      <c r="T820" s="1"/>
    </row>
    <row r="821" spans="8:20" x14ac:dyDescent="0.35">
      <c r="H821" s="7"/>
      <c r="I821" s="7"/>
      <c r="J821" s="7"/>
      <c r="L821" s="27"/>
      <c r="M821" s="17"/>
      <c r="R821" s="3"/>
      <c r="T821" s="1"/>
    </row>
    <row r="822" spans="8:20" x14ac:dyDescent="0.35">
      <c r="H822" s="7"/>
      <c r="I822" s="7"/>
      <c r="J822" s="7"/>
      <c r="L822" s="27"/>
      <c r="M822" s="17"/>
      <c r="R822" s="3"/>
      <c r="T822" s="1"/>
    </row>
    <row r="823" spans="8:20" x14ac:dyDescent="0.35">
      <c r="H823" s="7"/>
      <c r="I823" s="7"/>
      <c r="J823" s="7"/>
      <c r="L823" s="27"/>
      <c r="M823" s="17"/>
      <c r="R823" s="3"/>
      <c r="T823" s="1"/>
    </row>
    <row r="824" spans="8:20" x14ac:dyDescent="0.35">
      <c r="H824" s="7"/>
      <c r="I824" s="7"/>
      <c r="J824" s="7"/>
      <c r="L824" s="27"/>
      <c r="M824" s="17"/>
      <c r="R824" s="3"/>
      <c r="T824" s="1"/>
    </row>
    <row r="825" spans="8:20" x14ac:dyDescent="0.35">
      <c r="H825" s="7"/>
      <c r="I825" s="7"/>
      <c r="J825" s="7"/>
      <c r="L825" s="27"/>
      <c r="M825" s="17"/>
      <c r="R825" s="3"/>
      <c r="T825" s="1"/>
    </row>
    <row r="826" spans="8:20" x14ac:dyDescent="0.35">
      <c r="H826" s="7"/>
      <c r="I826" s="7"/>
      <c r="J826" s="7"/>
      <c r="L826" s="27"/>
      <c r="M826" s="17"/>
      <c r="R826" s="3"/>
      <c r="T826" s="1"/>
    </row>
    <row r="827" spans="8:20" x14ac:dyDescent="0.35">
      <c r="H827" s="7"/>
      <c r="I827" s="7"/>
      <c r="J827" s="7"/>
      <c r="L827" s="27"/>
      <c r="M827" s="17"/>
      <c r="R827" s="3"/>
      <c r="T827" s="1"/>
    </row>
    <row r="828" spans="8:20" x14ac:dyDescent="0.35">
      <c r="H828" s="7"/>
      <c r="I828" s="7"/>
      <c r="J828" s="7"/>
      <c r="L828" s="27"/>
      <c r="M828" s="17"/>
      <c r="R828" s="3"/>
      <c r="T828" s="1"/>
    </row>
    <row r="829" spans="8:20" x14ac:dyDescent="0.35">
      <c r="H829" s="7"/>
      <c r="I829" s="7"/>
      <c r="J829" s="7"/>
      <c r="L829" s="27"/>
      <c r="M829" s="17"/>
      <c r="R829" s="3"/>
      <c r="T829" s="1"/>
    </row>
    <row r="830" spans="8:20" x14ac:dyDescent="0.35">
      <c r="H830" s="7"/>
      <c r="I830" s="7"/>
      <c r="J830" s="7"/>
      <c r="L830" s="27"/>
      <c r="M830" s="17"/>
      <c r="R830" s="3"/>
      <c r="T830" s="1"/>
    </row>
    <row r="831" spans="8:20" x14ac:dyDescent="0.35">
      <c r="H831" s="7"/>
      <c r="I831" s="7"/>
      <c r="J831" s="7"/>
      <c r="L831" s="27"/>
      <c r="M831" s="17"/>
      <c r="R831" s="3"/>
      <c r="T831" s="1"/>
    </row>
    <row r="832" spans="8:20" x14ac:dyDescent="0.35">
      <c r="H832" s="7"/>
      <c r="I832" s="7"/>
      <c r="J832" s="7"/>
      <c r="L832" s="27"/>
      <c r="M832" s="17"/>
      <c r="R832" s="3"/>
      <c r="T832" s="1"/>
    </row>
    <row r="833" spans="8:20" x14ac:dyDescent="0.35">
      <c r="H833" s="7"/>
      <c r="I833" s="7"/>
      <c r="J833" s="7"/>
      <c r="L833" s="27"/>
      <c r="M833" s="17"/>
      <c r="R833" s="3"/>
      <c r="T833" s="1"/>
    </row>
    <row r="834" spans="8:20" x14ac:dyDescent="0.35">
      <c r="H834" s="7"/>
      <c r="I834" s="7"/>
      <c r="J834" s="7"/>
      <c r="L834" s="27"/>
      <c r="M834" s="17"/>
      <c r="R834" s="3"/>
      <c r="T834" s="1"/>
    </row>
    <row r="835" spans="8:20" x14ac:dyDescent="0.35">
      <c r="H835" s="7"/>
      <c r="I835" s="7"/>
      <c r="J835" s="7"/>
      <c r="L835" s="27"/>
      <c r="M835" s="17"/>
      <c r="R835" s="3"/>
      <c r="T835" s="1"/>
    </row>
    <row r="836" spans="8:20" x14ac:dyDescent="0.35">
      <c r="H836" s="7"/>
      <c r="I836" s="7"/>
      <c r="J836" s="7"/>
      <c r="L836" s="27"/>
      <c r="M836" s="17"/>
      <c r="R836" s="3"/>
      <c r="T836" s="1"/>
    </row>
    <row r="837" spans="8:20" x14ac:dyDescent="0.35">
      <c r="H837" s="7"/>
      <c r="I837" s="7"/>
      <c r="J837" s="7"/>
      <c r="L837" s="27"/>
      <c r="M837" s="17"/>
      <c r="R837" s="3"/>
      <c r="T837" s="1"/>
    </row>
    <row r="838" spans="8:20" x14ac:dyDescent="0.35">
      <c r="H838" s="7"/>
      <c r="I838" s="7"/>
      <c r="J838" s="7"/>
      <c r="L838" s="27"/>
      <c r="M838" s="17"/>
      <c r="R838" s="3"/>
      <c r="T838" s="1"/>
    </row>
    <row r="839" spans="8:20" x14ac:dyDescent="0.35">
      <c r="H839" s="7"/>
      <c r="I839" s="7"/>
      <c r="J839" s="7"/>
      <c r="L839" s="27"/>
      <c r="M839" s="17"/>
      <c r="R839" s="3"/>
      <c r="T839" s="1"/>
    </row>
    <row r="840" spans="8:20" x14ac:dyDescent="0.35">
      <c r="H840" s="7"/>
      <c r="I840" s="7"/>
      <c r="J840" s="7"/>
      <c r="L840" s="27"/>
      <c r="M840" s="17"/>
      <c r="R840" s="3"/>
      <c r="T840" s="1"/>
    </row>
    <row r="841" spans="8:20" x14ac:dyDescent="0.35">
      <c r="H841" s="7"/>
      <c r="I841" s="7"/>
      <c r="J841" s="7"/>
      <c r="L841" s="27"/>
      <c r="M841" s="17"/>
      <c r="R841" s="3"/>
      <c r="T841" s="1"/>
    </row>
    <row r="842" spans="8:20" x14ac:dyDescent="0.35">
      <c r="H842" s="7"/>
      <c r="I842" s="7"/>
      <c r="J842" s="7"/>
      <c r="L842" s="27"/>
      <c r="M842" s="17"/>
      <c r="R842" s="3"/>
      <c r="T842" s="1"/>
    </row>
    <row r="843" spans="8:20" x14ac:dyDescent="0.35">
      <c r="H843" s="7"/>
      <c r="I843" s="7"/>
      <c r="J843" s="7"/>
      <c r="L843" s="27"/>
      <c r="M843" s="17"/>
      <c r="R843" s="3"/>
      <c r="T843" s="1"/>
    </row>
    <row r="844" spans="8:20" x14ac:dyDescent="0.35">
      <c r="H844" s="7"/>
      <c r="I844" s="7"/>
      <c r="J844" s="7"/>
      <c r="L844" s="27"/>
      <c r="M844" s="17"/>
      <c r="R844" s="3"/>
      <c r="T844" s="1"/>
    </row>
    <row r="845" spans="8:20" x14ac:dyDescent="0.35">
      <c r="H845" s="7"/>
      <c r="I845" s="7"/>
      <c r="J845" s="7"/>
      <c r="L845" s="27"/>
      <c r="M845" s="17"/>
      <c r="R845" s="3"/>
      <c r="T845" s="1"/>
    </row>
    <row r="846" spans="8:20" x14ac:dyDescent="0.35">
      <c r="H846" s="7"/>
      <c r="I846" s="7"/>
      <c r="J846" s="7"/>
      <c r="L846" s="27"/>
      <c r="M846" s="17"/>
      <c r="R846" s="3"/>
      <c r="T846" s="1"/>
    </row>
    <row r="847" spans="8:20" x14ac:dyDescent="0.35">
      <c r="H847" s="7"/>
      <c r="I847" s="7"/>
      <c r="J847" s="7"/>
      <c r="L847" s="27"/>
      <c r="M847" s="17"/>
      <c r="R847" s="3"/>
      <c r="T847" s="1"/>
    </row>
    <row r="848" spans="8:20" x14ac:dyDescent="0.35">
      <c r="H848" s="7"/>
      <c r="I848" s="7"/>
      <c r="J848" s="7"/>
      <c r="L848" s="27"/>
      <c r="M848" s="17"/>
      <c r="R848" s="3"/>
      <c r="T848" s="1"/>
    </row>
    <row r="849" spans="8:20" x14ac:dyDescent="0.35">
      <c r="H849" s="7"/>
      <c r="I849" s="7"/>
      <c r="J849" s="7"/>
      <c r="L849" s="27"/>
      <c r="M849" s="17"/>
      <c r="R849" s="3"/>
      <c r="T849" s="1"/>
    </row>
    <row r="850" spans="8:20" x14ac:dyDescent="0.35">
      <c r="H850" s="7"/>
      <c r="I850" s="7"/>
      <c r="J850" s="7"/>
      <c r="L850" s="27"/>
      <c r="M850" s="17"/>
      <c r="R850" s="3"/>
      <c r="T850" s="1"/>
    </row>
    <row r="851" spans="8:20" x14ac:dyDescent="0.35">
      <c r="H851" s="7"/>
      <c r="I851" s="7"/>
      <c r="J851" s="7"/>
      <c r="L851" s="27"/>
      <c r="M851" s="17"/>
      <c r="R851" s="3"/>
      <c r="T851" s="1"/>
    </row>
    <row r="852" spans="8:20" x14ac:dyDescent="0.35">
      <c r="H852" s="7"/>
      <c r="I852" s="7"/>
      <c r="J852" s="7"/>
      <c r="L852" s="27"/>
      <c r="M852" s="17"/>
      <c r="R852" s="3"/>
      <c r="T852" s="1"/>
    </row>
    <row r="853" spans="8:20" x14ac:dyDescent="0.35">
      <c r="H853" s="7"/>
      <c r="I853" s="7"/>
      <c r="J853" s="7"/>
      <c r="L853" s="27"/>
      <c r="M853" s="17"/>
      <c r="R853" s="3"/>
      <c r="T853" s="1"/>
    </row>
    <row r="854" spans="8:20" x14ac:dyDescent="0.35">
      <c r="H854" s="7"/>
      <c r="I854" s="7"/>
      <c r="J854" s="7"/>
      <c r="L854" s="27"/>
      <c r="M854" s="17"/>
      <c r="R854" s="3"/>
      <c r="T854" s="1"/>
    </row>
    <row r="855" spans="8:20" x14ac:dyDescent="0.35">
      <c r="H855" s="7"/>
      <c r="I855" s="7"/>
      <c r="J855" s="7"/>
      <c r="L855" s="27"/>
      <c r="M855" s="17"/>
      <c r="R855" s="3"/>
      <c r="T855" s="1"/>
    </row>
    <row r="856" spans="8:20" x14ac:dyDescent="0.35">
      <c r="H856" s="7"/>
      <c r="I856" s="7"/>
      <c r="J856" s="7"/>
      <c r="L856" s="27"/>
      <c r="M856" s="17"/>
      <c r="R856" s="3"/>
      <c r="T856" s="1"/>
    </row>
    <row r="857" spans="8:20" x14ac:dyDescent="0.35">
      <c r="H857" s="7"/>
      <c r="I857" s="7"/>
      <c r="J857" s="7"/>
      <c r="L857" s="27"/>
      <c r="M857" s="17"/>
      <c r="R857" s="3"/>
      <c r="T857" s="1"/>
    </row>
    <row r="858" spans="8:20" x14ac:dyDescent="0.35">
      <c r="H858" s="7"/>
      <c r="I858" s="7"/>
      <c r="J858" s="7"/>
      <c r="L858" s="27"/>
      <c r="M858" s="17"/>
      <c r="R858" s="3"/>
      <c r="T858" s="1"/>
    </row>
    <row r="859" spans="8:20" x14ac:dyDescent="0.35">
      <c r="H859" s="7"/>
      <c r="I859" s="7"/>
      <c r="J859" s="7"/>
      <c r="L859" s="27"/>
      <c r="M859" s="17"/>
      <c r="R859" s="3"/>
      <c r="T859" s="1"/>
    </row>
    <row r="860" spans="8:20" x14ac:dyDescent="0.35">
      <c r="H860" s="7"/>
      <c r="I860" s="7"/>
      <c r="J860" s="7"/>
      <c r="L860" s="27"/>
      <c r="M860" s="17"/>
      <c r="R860" s="3"/>
      <c r="T860" s="1"/>
    </row>
    <row r="861" spans="8:20" x14ac:dyDescent="0.35">
      <c r="H861" s="7"/>
      <c r="I861" s="7"/>
      <c r="J861" s="7"/>
      <c r="L861" s="27"/>
      <c r="M861" s="17"/>
      <c r="R861" s="3"/>
      <c r="T861" s="1"/>
    </row>
    <row r="862" spans="8:20" x14ac:dyDescent="0.35">
      <c r="H862" s="7"/>
      <c r="I862" s="7"/>
      <c r="J862" s="7"/>
      <c r="L862" s="27"/>
      <c r="M862" s="17"/>
      <c r="R862" s="3"/>
      <c r="T862" s="1"/>
    </row>
    <row r="863" spans="8:20" x14ac:dyDescent="0.35">
      <c r="H863" s="7"/>
      <c r="I863" s="7"/>
      <c r="J863" s="7"/>
      <c r="L863" s="27"/>
      <c r="M863" s="17"/>
      <c r="R863" s="3"/>
      <c r="T863" s="1"/>
    </row>
    <row r="864" spans="8:20" x14ac:dyDescent="0.35">
      <c r="H864" s="7"/>
      <c r="I864" s="7"/>
      <c r="J864" s="7"/>
      <c r="L864" s="27"/>
      <c r="M864" s="17"/>
      <c r="R864" s="3"/>
      <c r="T864" s="1"/>
    </row>
    <row r="865" spans="8:20" x14ac:dyDescent="0.35">
      <c r="H865" s="7"/>
      <c r="I865" s="7"/>
      <c r="J865" s="7"/>
      <c r="L865" s="27"/>
      <c r="M865" s="17"/>
      <c r="R865" s="3"/>
      <c r="T865" s="1"/>
    </row>
    <row r="866" spans="8:20" x14ac:dyDescent="0.35">
      <c r="H866" s="7"/>
      <c r="I866" s="7"/>
      <c r="J866" s="7"/>
      <c r="L866" s="27"/>
      <c r="M866" s="17"/>
      <c r="R866" s="3"/>
      <c r="T866" s="1"/>
    </row>
    <row r="867" spans="8:20" x14ac:dyDescent="0.35">
      <c r="H867" s="7"/>
      <c r="I867" s="7"/>
      <c r="J867" s="7"/>
      <c r="L867" s="27"/>
      <c r="M867" s="17"/>
      <c r="R867" s="3"/>
      <c r="T867" s="1"/>
    </row>
    <row r="868" spans="8:20" x14ac:dyDescent="0.35">
      <c r="H868" s="7"/>
      <c r="I868" s="7"/>
      <c r="J868" s="7"/>
      <c r="L868" s="27"/>
      <c r="M868" s="17"/>
      <c r="R868" s="3"/>
      <c r="T868" s="1"/>
    </row>
    <row r="869" spans="8:20" x14ac:dyDescent="0.35">
      <c r="H869" s="7"/>
      <c r="I869" s="7"/>
      <c r="J869" s="7"/>
      <c r="L869" s="27"/>
      <c r="M869" s="17"/>
      <c r="R869" s="3"/>
      <c r="T869" s="1"/>
    </row>
    <row r="870" spans="8:20" x14ac:dyDescent="0.35">
      <c r="H870" s="7"/>
      <c r="I870" s="7"/>
      <c r="J870" s="7"/>
      <c r="L870" s="27"/>
      <c r="M870" s="17"/>
      <c r="R870" s="3"/>
      <c r="T870" s="1"/>
    </row>
    <row r="871" spans="8:20" x14ac:dyDescent="0.35">
      <c r="H871" s="7"/>
      <c r="I871" s="7"/>
      <c r="J871" s="7"/>
      <c r="L871" s="27"/>
      <c r="M871" s="17"/>
      <c r="R871" s="3"/>
      <c r="T871" s="1"/>
    </row>
    <row r="872" spans="8:20" x14ac:dyDescent="0.35">
      <c r="H872" s="7"/>
      <c r="I872" s="7"/>
      <c r="J872" s="7"/>
      <c r="L872" s="27"/>
      <c r="M872" s="17"/>
      <c r="R872" s="3"/>
      <c r="T872" s="1"/>
    </row>
    <row r="873" spans="8:20" x14ac:dyDescent="0.35">
      <c r="H873" s="7"/>
      <c r="I873" s="7"/>
      <c r="J873" s="7"/>
      <c r="L873" s="27"/>
      <c r="M873" s="17"/>
      <c r="R873" s="3"/>
      <c r="T873" s="1"/>
    </row>
    <row r="874" spans="8:20" x14ac:dyDescent="0.35">
      <c r="H874" s="7"/>
      <c r="I874" s="7"/>
      <c r="J874" s="7"/>
      <c r="L874" s="27"/>
      <c r="M874" s="17"/>
      <c r="R874" s="3"/>
      <c r="T874" s="1"/>
    </row>
    <row r="875" spans="8:20" x14ac:dyDescent="0.35">
      <c r="H875" s="7"/>
      <c r="I875" s="7"/>
      <c r="J875" s="7"/>
      <c r="L875" s="27"/>
      <c r="M875" s="17"/>
      <c r="R875" s="3"/>
      <c r="T875" s="1"/>
    </row>
    <row r="876" spans="8:20" x14ac:dyDescent="0.35">
      <c r="H876" s="7"/>
      <c r="I876" s="7"/>
      <c r="J876" s="7"/>
      <c r="L876" s="27"/>
      <c r="M876" s="17"/>
      <c r="R876" s="3"/>
      <c r="T876" s="1"/>
    </row>
    <row r="877" spans="8:20" x14ac:dyDescent="0.35">
      <c r="H877" s="7"/>
      <c r="I877" s="7"/>
      <c r="J877" s="7"/>
      <c r="L877" s="27"/>
      <c r="M877" s="17"/>
      <c r="R877" s="3"/>
      <c r="T877" s="1"/>
    </row>
    <row r="878" spans="8:20" x14ac:dyDescent="0.35">
      <c r="H878" s="7"/>
      <c r="I878" s="7"/>
      <c r="J878" s="7"/>
      <c r="L878" s="27"/>
      <c r="M878" s="17"/>
      <c r="R878" s="3"/>
      <c r="T878" s="1"/>
    </row>
    <row r="879" spans="8:20" x14ac:dyDescent="0.35">
      <c r="H879" s="7"/>
      <c r="I879" s="7"/>
      <c r="J879" s="7"/>
      <c r="L879" s="27"/>
      <c r="M879" s="17"/>
      <c r="R879" s="3"/>
      <c r="T879" s="1"/>
    </row>
    <row r="880" spans="8:20" x14ac:dyDescent="0.35">
      <c r="H880" s="7"/>
      <c r="I880" s="7"/>
      <c r="J880" s="7"/>
      <c r="L880" s="27"/>
      <c r="M880" s="17"/>
      <c r="R880" s="3"/>
      <c r="T880" s="1"/>
    </row>
    <row r="881" spans="8:20" x14ac:dyDescent="0.35">
      <c r="H881" s="7"/>
      <c r="I881" s="7"/>
      <c r="J881" s="7"/>
      <c r="L881" s="27"/>
      <c r="M881" s="17"/>
      <c r="R881" s="3"/>
      <c r="T881" s="1"/>
    </row>
    <row r="882" spans="8:20" x14ac:dyDescent="0.35">
      <c r="H882" s="7"/>
      <c r="I882" s="7"/>
      <c r="J882" s="7"/>
      <c r="L882" s="27"/>
      <c r="M882" s="17"/>
      <c r="R882" s="3"/>
      <c r="T882" s="1"/>
    </row>
    <row r="883" spans="8:20" x14ac:dyDescent="0.35">
      <c r="H883" s="7"/>
      <c r="I883" s="7"/>
      <c r="J883" s="7"/>
      <c r="L883" s="27"/>
      <c r="M883" s="17"/>
      <c r="R883" s="3"/>
      <c r="T883" s="1"/>
    </row>
    <row r="884" spans="8:20" x14ac:dyDescent="0.35">
      <c r="H884" s="7"/>
      <c r="I884" s="7"/>
      <c r="J884" s="7"/>
      <c r="L884" s="27"/>
      <c r="M884" s="17"/>
      <c r="R884" s="3"/>
      <c r="T884" s="1"/>
    </row>
    <row r="885" spans="8:20" x14ac:dyDescent="0.35">
      <c r="H885" s="7"/>
      <c r="I885" s="7"/>
      <c r="J885" s="7"/>
      <c r="L885" s="27"/>
      <c r="M885" s="17"/>
      <c r="R885" s="3"/>
      <c r="T885" s="1"/>
    </row>
    <row r="886" spans="8:20" x14ac:dyDescent="0.35">
      <c r="H886" s="7"/>
      <c r="I886" s="7"/>
      <c r="J886" s="7"/>
      <c r="L886" s="27"/>
      <c r="M886" s="17"/>
      <c r="R886" s="3"/>
      <c r="T886" s="1"/>
    </row>
    <row r="887" spans="8:20" x14ac:dyDescent="0.35">
      <c r="H887" s="7"/>
      <c r="I887" s="7"/>
      <c r="J887" s="7"/>
      <c r="L887" s="27"/>
      <c r="M887" s="17"/>
      <c r="R887" s="3"/>
      <c r="T887" s="1"/>
    </row>
    <row r="888" spans="8:20" x14ac:dyDescent="0.35">
      <c r="H888" s="7"/>
      <c r="I888" s="7"/>
      <c r="J888" s="7"/>
      <c r="L888" s="27"/>
      <c r="M888" s="17"/>
      <c r="R888" s="3"/>
      <c r="T888" s="1"/>
    </row>
    <row r="889" spans="8:20" x14ac:dyDescent="0.35">
      <c r="H889" s="7"/>
      <c r="I889" s="7"/>
      <c r="J889" s="7"/>
      <c r="L889" s="27"/>
      <c r="M889" s="17"/>
      <c r="R889" s="3"/>
      <c r="T889" s="1"/>
    </row>
    <row r="890" spans="8:20" x14ac:dyDescent="0.35">
      <c r="H890" s="7"/>
      <c r="I890" s="7"/>
      <c r="J890" s="7"/>
      <c r="L890" s="27"/>
      <c r="M890" s="17"/>
      <c r="R890" s="3"/>
      <c r="T890" s="1"/>
    </row>
    <row r="891" spans="8:20" x14ac:dyDescent="0.35">
      <c r="H891" s="7"/>
      <c r="I891" s="7"/>
      <c r="J891" s="7"/>
      <c r="L891" s="27"/>
      <c r="M891" s="17"/>
      <c r="R891" s="3"/>
      <c r="T891" s="1"/>
    </row>
    <row r="892" spans="8:20" x14ac:dyDescent="0.35">
      <c r="H892" s="7"/>
      <c r="I892" s="7"/>
      <c r="J892" s="7"/>
      <c r="L892" s="27"/>
      <c r="M892" s="17"/>
      <c r="R892" s="3"/>
      <c r="T892" s="1"/>
    </row>
    <row r="893" spans="8:20" x14ac:dyDescent="0.35">
      <c r="H893" s="7"/>
      <c r="I893" s="7"/>
      <c r="J893" s="7"/>
      <c r="L893" s="27"/>
      <c r="M893" s="17"/>
      <c r="R893" s="3"/>
      <c r="T893" s="1"/>
    </row>
    <row r="894" spans="8:20" x14ac:dyDescent="0.35">
      <c r="H894" s="7"/>
      <c r="I894" s="7"/>
      <c r="J894" s="7"/>
      <c r="L894" s="27"/>
      <c r="M894" s="17"/>
      <c r="R894" s="3"/>
      <c r="T894" s="1"/>
    </row>
    <row r="895" spans="8:20" x14ac:dyDescent="0.35">
      <c r="H895" s="7"/>
      <c r="I895" s="7"/>
      <c r="J895" s="7"/>
      <c r="L895" s="27"/>
      <c r="M895" s="17"/>
      <c r="R895" s="3"/>
      <c r="T895" s="1"/>
    </row>
    <row r="896" spans="8:20" x14ac:dyDescent="0.35">
      <c r="H896" s="7"/>
      <c r="I896" s="7"/>
      <c r="J896" s="7"/>
      <c r="L896" s="27"/>
      <c r="M896" s="17"/>
      <c r="R896" s="3"/>
      <c r="T896" s="1"/>
    </row>
    <row r="897" spans="8:20" x14ac:dyDescent="0.35">
      <c r="H897" s="7"/>
      <c r="I897" s="7"/>
      <c r="J897" s="7"/>
      <c r="L897" s="27"/>
      <c r="M897" s="17"/>
      <c r="R897" s="3"/>
      <c r="T897" s="1"/>
    </row>
    <row r="898" spans="8:20" x14ac:dyDescent="0.35">
      <c r="H898" s="7"/>
      <c r="I898" s="7"/>
      <c r="J898" s="7"/>
      <c r="L898" s="27"/>
      <c r="M898" s="17"/>
      <c r="R898" s="3"/>
      <c r="T898" s="1"/>
    </row>
    <row r="899" spans="8:20" x14ac:dyDescent="0.35">
      <c r="H899" s="7"/>
      <c r="I899" s="7"/>
      <c r="J899" s="7"/>
      <c r="L899" s="27"/>
      <c r="M899" s="17"/>
      <c r="R899" s="3"/>
      <c r="T899" s="1"/>
    </row>
    <row r="900" spans="8:20" x14ac:dyDescent="0.35">
      <c r="H900" s="7"/>
      <c r="I900" s="7"/>
      <c r="J900" s="7"/>
      <c r="L900" s="27"/>
      <c r="M900" s="17"/>
      <c r="R900" s="3"/>
      <c r="T900" s="1"/>
    </row>
    <row r="901" spans="8:20" x14ac:dyDescent="0.35">
      <c r="H901" s="7"/>
      <c r="I901" s="7"/>
      <c r="J901" s="7"/>
      <c r="L901" s="27"/>
      <c r="M901" s="17"/>
      <c r="R901" s="3"/>
      <c r="T901" s="1"/>
    </row>
    <row r="902" spans="8:20" x14ac:dyDescent="0.35">
      <c r="H902" s="7"/>
      <c r="I902" s="7"/>
      <c r="J902" s="7"/>
      <c r="L902" s="27"/>
      <c r="M902" s="17"/>
      <c r="R902" s="3"/>
      <c r="T902" s="1"/>
    </row>
    <row r="903" spans="8:20" x14ac:dyDescent="0.35">
      <c r="H903" s="7"/>
      <c r="I903" s="7"/>
      <c r="J903" s="7"/>
      <c r="L903" s="27"/>
      <c r="M903" s="17"/>
      <c r="R903" s="3"/>
      <c r="T903" s="1"/>
    </row>
    <row r="904" spans="8:20" x14ac:dyDescent="0.35">
      <c r="H904" s="7"/>
      <c r="I904" s="7"/>
      <c r="J904" s="7"/>
      <c r="L904" s="27"/>
      <c r="M904" s="17"/>
      <c r="R904" s="3"/>
      <c r="T904" s="1"/>
    </row>
    <row r="905" spans="8:20" x14ac:dyDescent="0.35">
      <c r="H905" s="7"/>
      <c r="I905" s="7"/>
      <c r="J905" s="7"/>
      <c r="L905" s="27"/>
      <c r="M905" s="17"/>
      <c r="R905" s="3"/>
      <c r="T905" s="1"/>
    </row>
    <row r="906" spans="8:20" x14ac:dyDescent="0.35">
      <c r="H906" s="7"/>
      <c r="I906" s="7"/>
      <c r="J906" s="7"/>
      <c r="L906" s="27"/>
      <c r="M906" s="17"/>
      <c r="R906" s="3"/>
      <c r="T906" s="1"/>
    </row>
    <row r="907" spans="8:20" x14ac:dyDescent="0.35">
      <c r="H907" s="7"/>
      <c r="I907" s="7"/>
      <c r="J907" s="7"/>
      <c r="L907" s="27"/>
      <c r="M907" s="17"/>
      <c r="R907" s="3"/>
      <c r="T907" s="1"/>
    </row>
    <row r="908" spans="8:20" x14ac:dyDescent="0.35">
      <c r="H908" s="7"/>
      <c r="I908" s="7"/>
      <c r="J908" s="7"/>
      <c r="L908" s="27"/>
      <c r="M908" s="17"/>
      <c r="R908" s="3"/>
      <c r="T908" s="1"/>
    </row>
    <row r="909" spans="8:20" x14ac:dyDescent="0.35">
      <c r="H909" s="7"/>
      <c r="I909" s="7"/>
      <c r="J909" s="7"/>
      <c r="L909" s="27"/>
      <c r="M909" s="17"/>
      <c r="R909" s="3"/>
      <c r="T909" s="1"/>
    </row>
    <row r="910" spans="8:20" x14ac:dyDescent="0.35">
      <c r="H910" s="7"/>
      <c r="I910" s="7"/>
      <c r="J910" s="7"/>
      <c r="L910" s="27"/>
      <c r="M910" s="17"/>
      <c r="R910" s="3"/>
      <c r="T910" s="1"/>
    </row>
    <row r="911" spans="8:20" x14ac:dyDescent="0.35">
      <c r="H911" s="7"/>
      <c r="I911" s="7"/>
      <c r="J911" s="7"/>
      <c r="L911" s="27"/>
      <c r="M911" s="17"/>
      <c r="R911" s="3"/>
      <c r="T911" s="1"/>
    </row>
    <row r="912" spans="8:20" x14ac:dyDescent="0.35">
      <c r="H912" s="7"/>
      <c r="I912" s="7"/>
      <c r="J912" s="7"/>
      <c r="L912" s="27"/>
      <c r="M912" s="17"/>
      <c r="R912" s="3"/>
      <c r="T912" s="1"/>
    </row>
    <row r="913" spans="8:20" x14ac:dyDescent="0.35">
      <c r="H913" s="7"/>
      <c r="I913" s="7"/>
      <c r="J913" s="7"/>
      <c r="L913" s="27"/>
      <c r="M913" s="17"/>
      <c r="R913" s="3"/>
      <c r="T913" s="1"/>
    </row>
    <row r="914" spans="8:20" x14ac:dyDescent="0.35">
      <c r="H914" s="7"/>
      <c r="I914" s="7"/>
      <c r="J914" s="7"/>
      <c r="L914" s="27"/>
      <c r="M914" s="17"/>
      <c r="R914" s="3"/>
      <c r="T914" s="1"/>
    </row>
    <row r="915" spans="8:20" x14ac:dyDescent="0.35">
      <c r="H915" s="7"/>
      <c r="I915" s="7"/>
      <c r="J915" s="7"/>
      <c r="L915" s="27"/>
      <c r="M915" s="17"/>
      <c r="R915" s="3"/>
      <c r="T915" s="1"/>
    </row>
    <row r="916" spans="8:20" x14ac:dyDescent="0.35">
      <c r="H916" s="7"/>
      <c r="I916" s="7"/>
      <c r="J916" s="7"/>
      <c r="L916" s="27"/>
      <c r="M916" s="17"/>
      <c r="R916" s="3"/>
      <c r="T916" s="1"/>
    </row>
    <row r="917" spans="8:20" x14ac:dyDescent="0.35">
      <c r="H917" s="7"/>
      <c r="I917" s="7"/>
      <c r="J917" s="7"/>
      <c r="L917" s="27"/>
      <c r="M917" s="17"/>
      <c r="R917" s="3"/>
      <c r="T917" s="1"/>
    </row>
    <row r="918" spans="8:20" x14ac:dyDescent="0.35">
      <c r="H918" s="7"/>
      <c r="I918" s="7"/>
      <c r="J918" s="7"/>
      <c r="L918" s="27"/>
      <c r="M918" s="17"/>
      <c r="R918" s="3"/>
      <c r="T918" s="1"/>
    </row>
    <row r="919" spans="8:20" x14ac:dyDescent="0.35">
      <c r="H919" s="7"/>
      <c r="I919" s="7"/>
      <c r="J919" s="7"/>
      <c r="L919" s="27"/>
      <c r="M919" s="17"/>
      <c r="R919" s="3"/>
      <c r="T919" s="1"/>
    </row>
    <row r="920" spans="8:20" x14ac:dyDescent="0.35">
      <c r="H920" s="7"/>
      <c r="I920" s="7"/>
      <c r="J920" s="7"/>
      <c r="L920" s="27"/>
      <c r="M920" s="17"/>
      <c r="R920" s="3"/>
      <c r="T920" s="1"/>
    </row>
    <row r="921" spans="8:20" x14ac:dyDescent="0.35">
      <c r="H921" s="7"/>
      <c r="I921" s="7"/>
      <c r="J921" s="7"/>
      <c r="L921" s="27"/>
      <c r="M921" s="17"/>
      <c r="R921" s="3"/>
      <c r="T921" s="1"/>
    </row>
    <row r="922" spans="8:20" x14ac:dyDescent="0.35">
      <c r="H922" s="7"/>
      <c r="I922" s="7"/>
      <c r="J922" s="7"/>
      <c r="L922" s="27"/>
      <c r="M922" s="17"/>
      <c r="R922" s="3"/>
      <c r="T922" s="1"/>
    </row>
    <row r="923" spans="8:20" x14ac:dyDescent="0.35">
      <c r="H923" s="7"/>
      <c r="I923" s="7"/>
      <c r="J923" s="7"/>
      <c r="L923" s="27"/>
      <c r="M923" s="17"/>
      <c r="R923" s="3"/>
      <c r="T923" s="1"/>
    </row>
    <row r="924" spans="8:20" x14ac:dyDescent="0.35">
      <c r="H924" s="7"/>
      <c r="I924" s="7"/>
      <c r="J924" s="7"/>
      <c r="L924" s="27"/>
      <c r="M924" s="17"/>
      <c r="R924" s="3"/>
      <c r="T924" s="1"/>
    </row>
    <row r="925" spans="8:20" x14ac:dyDescent="0.35">
      <c r="H925" s="7"/>
      <c r="I925" s="7"/>
      <c r="J925" s="7"/>
      <c r="L925" s="27"/>
      <c r="M925" s="17"/>
      <c r="R925" s="3"/>
      <c r="T925" s="1"/>
    </row>
    <row r="926" spans="8:20" x14ac:dyDescent="0.35">
      <c r="H926" s="7"/>
      <c r="I926" s="7"/>
      <c r="J926" s="7"/>
      <c r="L926" s="27"/>
      <c r="M926" s="17"/>
      <c r="R926" s="3"/>
      <c r="T926" s="1"/>
    </row>
    <row r="927" spans="8:20" x14ac:dyDescent="0.35">
      <c r="H927" s="7"/>
      <c r="I927" s="7"/>
      <c r="J927" s="7"/>
      <c r="L927" s="27"/>
      <c r="M927" s="17"/>
      <c r="R927" s="3"/>
      <c r="T927" s="1"/>
    </row>
    <row r="928" spans="8:20" x14ac:dyDescent="0.35">
      <c r="H928" s="7"/>
      <c r="I928" s="7"/>
      <c r="J928" s="7"/>
      <c r="L928" s="27"/>
      <c r="M928" s="17"/>
      <c r="R928" s="3"/>
      <c r="T928" s="1"/>
    </row>
    <row r="929" spans="8:20" x14ac:dyDescent="0.35">
      <c r="H929" s="7"/>
      <c r="I929" s="7"/>
      <c r="J929" s="7"/>
      <c r="L929" s="27"/>
      <c r="M929" s="17"/>
      <c r="R929" s="3"/>
      <c r="T929" s="1"/>
    </row>
    <row r="930" spans="8:20" x14ac:dyDescent="0.35">
      <c r="H930" s="7"/>
      <c r="I930" s="7"/>
      <c r="J930" s="7"/>
      <c r="L930" s="27"/>
      <c r="M930" s="17"/>
      <c r="R930" s="3"/>
      <c r="T930" s="1"/>
    </row>
    <row r="931" spans="8:20" x14ac:dyDescent="0.35">
      <c r="H931" s="7"/>
      <c r="I931" s="7"/>
      <c r="J931" s="7"/>
      <c r="L931" s="27"/>
      <c r="M931" s="17"/>
      <c r="R931" s="3"/>
      <c r="T931" s="1"/>
    </row>
    <row r="932" spans="8:20" x14ac:dyDescent="0.35">
      <c r="H932" s="7"/>
      <c r="I932" s="7"/>
      <c r="J932" s="7"/>
      <c r="L932" s="27"/>
      <c r="M932" s="17"/>
      <c r="R932" s="3"/>
      <c r="T932" s="1"/>
    </row>
    <row r="933" spans="8:20" x14ac:dyDescent="0.35">
      <c r="H933" s="7"/>
      <c r="I933" s="7"/>
      <c r="J933" s="7"/>
      <c r="L933" s="27"/>
      <c r="M933" s="17"/>
      <c r="R933" s="3"/>
      <c r="T933" s="1"/>
    </row>
    <row r="934" spans="8:20" x14ac:dyDescent="0.35">
      <c r="H934" s="7"/>
      <c r="I934" s="7"/>
      <c r="J934" s="7"/>
      <c r="L934" s="27"/>
      <c r="M934" s="17"/>
      <c r="R934" s="3"/>
      <c r="T934" s="1"/>
    </row>
    <row r="935" spans="8:20" x14ac:dyDescent="0.35">
      <c r="H935" s="7"/>
      <c r="I935" s="7"/>
      <c r="J935" s="7"/>
      <c r="L935" s="27"/>
      <c r="M935" s="17"/>
      <c r="R935" s="3"/>
      <c r="T935" s="1"/>
    </row>
    <row r="936" spans="8:20" x14ac:dyDescent="0.35">
      <c r="H936" s="7"/>
      <c r="I936" s="7"/>
      <c r="J936" s="7"/>
      <c r="L936" s="27"/>
      <c r="M936" s="17"/>
      <c r="R936" s="3"/>
      <c r="T936" s="1"/>
    </row>
    <row r="937" spans="8:20" x14ac:dyDescent="0.35">
      <c r="H937" s="7"/>
      <c r="I937" s="7"/>
      <c r="J937" s="7"/>
      <c r="L937" s="27"/>
      <c r="M937" s="17"/>
      <c r="R937" s="3"/>
      <c r="T937" s="1"/>
    </row>
    <row r="938" spans="8:20" x14ac:dyDescent="0.35">
      <c r="H938" s="7"/>
      <c r="I938" s="7"/>
      <c r="J938" s="7"/>
      <c r="L938" s="27"/>
      <c r="M938" s="17"/>
      <c r="R938" s="3"/>
      <c r="T938" s="1"/>
    </row>
    <row r="939" spans="8:20" x14ac:dyDescent="0.35">
      <c r="H939" s="7"/>
      <c r="I939" s="7"/>
      <c r="J939" s="7"/>
      <c r="L939" s="27"/>
      <c r="M939" s="17"/>
      <c r="R939" s="3"/>
      <c r="T939" s="1"/>
    </row>
    <row r="940" spans="8:20" x14ac:dyDescent="0.35">
      <c r="H940" s="7"/>
      <c r="I940" s="7"/>
      <c r="J940" s="7"/>
      <c r="L940" s="27"/>
      <c r="M940" s="17"/>
      <c r="R940" s="3"/>
      <c r="T940" s="1"/>
    </row>
    <row r="941" spans="8:20" x14ac:dyDescent="0.35">
      <c r="H941" s="7"/>
      <c r="I941" s="7"/>
      <c r="J941" s="7"/>
      <c r="L941" s="27"/>
      <c r="M941" s="17"/>
      <c r="R941" s="3"/>
      <c r="T941" s="1"/>
    </row>
    <row r="942" spans="8:20" x14ac:dyDescent="0.35">
      <c r="H942" s="7"/>
      <c r="I942" s="7"/>
      <c r="J942" s="7"/>
      <c r="L942" s="27"/>
      <c r="M942" s="17"/>
      <c r="R942" s="3"/>
      <c r="T942" s="1"/>
    </row>
    <row r="943" spans="8:20" x14ac:dyDescent="0.35">
      <c r="H943" s="7"/>
      <c r="I943" s="7"/>
      <c r="J943" s="7"/>
      <c r="L943" s="27"/>
      <c r="M943" s="17"/>
      <c r="R943" s="3"/>
      <c r="T943" s="1"/>
    </row>
    <row r="944" spans="8:20" x14ac:dyDescent="0.35">
      <c r="H944" s="7"/>
      <c r="I944" s="7"/>
      <c r="J944" s="7"/>
      <c r="L944" s="27"/>
      <c r="M944" s="17"/>
      <c r="R944" s="3"/>
      <c r="T944" s="1"/>
    </row>
    <row r="945" spans="8:20" x14ac:dyDescent="0.35">
      <c r="H945" s="7"/>
      <c r="I945" s="7"/>
      <c r="J945" s="7"/>
      <c r="L945" s="27"/>
      <c r="M945" s="17"/>
      <c r="R945" s="3"/>
      <c r="T945" s="1"/>
    </row>
    <row r="946" spans="8:20" x14ac:dyDescent="0.35">
      <c r="H946" s="7"/>
      <c r="I946" s="7"/>
      <c r="J946" s="7"/>
      <c r="L946" s="27"/>
      <c r="M946" s="17"/>
      <c r="R946" s="3"/>
      <c r="T946" s="1"/>
    </row>
    <row r="947" spans="8:20" x14ac:dyDescent="0.35">
      <c r="H947" s="7"/>
      <c r="I947" s="7"/>
      <c r="J947" s="7"/>
      <c r="L947" s="27"/>
      <c r="M947" s="17"/>
      <c r="R947" s="3"/>
      <c r="T947" s="1"/>
    </row>
    <row r="948" spans="8:20" x14ac:dyDescent="0.35">
      <c r="H948" s="7"/>
      <c r="I948" s="7"/>
      <c r="J948" s="7"/>
      <c r="L948" s="27"/>
      <c r="M948" s="17"/>
      <c r="R948" s="3"/>
      <c r="T948" s="1"/>
    </row>
    <row r="949" spans="8:20" x14ac:dyDescent="0.35">
      <c r="H949" s="7"/>
      <c r="I949" s="7"/>
      <c r="J949" s="7"/>
      <c r="L949" s="27"/>
      <c r="M949" s="17"/>
      <c r="R949" s="3"/>
      <c r="T949" s="1"/>
    </row>
    <row r="950" spans="8:20" x14ac:dyDescent="0.35">
      <c r="H950" s="7"/>
      <c r="I950" s="7"/>
      <c r="J950" s="7"/>
      <c r="L950" s="27"/>
      <c r="M950" s="17"/>
      <c r="R950" s="3"/>
      <c r="T950" s="1"/>
    </row>
    <row r="951" spans="8:20" x14ac:dyDescent="0.35">
      <c r="H951" s="7"/>
      <c r="I951" s="7"/>
      <c r="J951" s="7"/>
      <c r="L951" s="27"/>
      <c r="M951" s="17"/>
      <c r="R951" s="3"/>
      <c r="T951" s="1"/>
    </row>
    <row r="952" spans="8:20" x14ac:dyDescent="0.35">
      <c r="H952" s="7"/>
      <c r="I952" s="7"/>
      <c r="J952" s="7"/>
      <c r="L952" s="27"/>
      <c r="M952" s="17"/>
      <c r="R952" s="3"/>
      <c r="T952" s="1"/>
    </row>
    <row r="953" spans="8:20" x14ac:dyDescent="0.35">
      <c r="H953" s="7"/>
      <c r="I953" s="7"/>
      <c r="J953" s="7"/>
      <c r="L953" s="27"/>
      <c r="M953" s="17"/>
      <c r="R953" s="3"/>
      <c r="T953" s="1"/>
    </row>
    <row r="954" spans="8:20" x14ac:dyDescent="0.35">
      <c r="H954" s="7"/>
      <c r="I954" s="7"/>
      <c r="J954" s="7"/>
      <c r="L954" s="27"/>
      <c r="M954" s="17"/>
      <c r="R954" s="3"/>
      <c r="T954" s="1"/>
    </row>
    <row r="955" spans="8:20" x14ac:dyDescent="0.35">
      <c r="H955" s="7"/>
      <c r="I955" s="7"/>
      <c r="J955" s="7"/>
      <c r="L955" s="27"/>
      <c r="M955" s="17"/>
      <c r="R955" s="3"/>
      <c r="T955" s="1"/>
    </row>
    <row r="956" spans="8:20" x14ac:dyDescent="0.35">
      <c r="H956" s="7"/>
      <c r="I956" s="7"/>
      <c r="J956" s="7"/>
      <c r="L956" s="27"/>
      <c r="M956" s="17"/>
      <c r="R956" s="3"/>
      <c r="T956" s="1"/>
    </row>
    <row r="957" spans="8:20" x14ac:dyDescent="0.35">
      <c r="H957" s="7"/>
      <c r="I957" s="7"/>
      <c r="J957" s="7"/>
      <c r="L957" s="27"/>
      <c r="M957" s="17"/>
      <c r="R957" s="3"/>
      <c r="T957" s="1"/>
    </row>
    <row r="958" spans="8:20" x14ac:dyDescent="0.35">
      <c r="H958" s="7"/>
      <c r="I958" s="7"/>
      <c r="J958" s="7"/>
      <c r="L958" s="27"/>
      <c r="M958" s="17"/>
      <c r="R958" s="3"/>
      <c r="T958" s="1"/>
    </row>
    <row r="959" spans="8:20" x14ac:dyDescent="0.35">
      <c r="H959" s="7"/>
      <c r="I959" s="7"/>
      <c r="J959" s="7"/>
      <c r="L959" s="27"/>
      <c r="M959" s="17"/>
      <c r="R959" s="3"/>
      <c r="T959" s="1"/>
    </row>
    <row r="960" spans="8:20" x14ac:dyDescent="0.35">
      <c r="H960" s="7"/>
      <c r="I960" s="7"/>
      <c r="J960" s="7"/>
      <c r="L960" s="27"/>
      <c r="M960" s="17"/>
      <c r="R960" s="3"/>
      <c r="T960" s="1"/>
    </row>
    <row r="961" spans="8:20" x14ac:dyDescent="0.35">
      <c r="H961" s="7"/>
      <c r="I961" s="7"/>
      <c r="J961" s="7"/>
      <c r="L961" s="27"/>
      <c r="M961" s="17"/>
      <c r="R961" s="3"/>
      <c r="T961" s="1"/>
    </row>
    <row r="962" spans="8:20" x14ac:dyDescent="0.35">
      <c r="H962" s="7"/>
      <c r="I962" s="7"/>
      <c r="J962" s="7"/>
      <c r="L962" s="27"/>
      <c r="M962" s="17"/>
      <c r="R962" s="3"/>
      <c r="T962" s="1"/>
    </row>
    <row r="963" spans="8:20" x14ac:dyDescent="0.35">
      <c r="H963" s="7"/>
      <c r="I963" s="7"/>
      <c r="J963" s="7"/>
      <c r="L963" s="27"/>
      <c r="M963" s="17"/>
      <c r="R963" s="3"/>
      <c r="T963" s="1"/>
    </row>
    <row r="964" spans="8:20" x14ac:dyDescent="0.35">
      <c r="H964" s="7"/>
      <c r="I964" s="7"/>
      <c r="J964" s="7"/>
      <c r="L964" s="27"/>
      <c r="M964" s="17"/>
      <c r="R964" s="3"/>
      <c r="T964" s="1"/>
    </row>
    <row r="965" spans="8:20" x14ac:dyDescent="0.35">
      <c r="H965" s="7"/>
      <c r="I965" s="7"/>
      <c r="J965" s="7"/>
      <c r="L965" s="27"/>
      <c r="M965" s="17"/>
      <c r="R965" s="3"/>
      <c r="T965" s="1"/>
    </row>
    <row r="966" spans="8:20" x14ac:dyDescent="0.35">
      <c r="H966" s="7"/>
      <c r="I966" s="7"/>
      <c r="J966" s="7"/>
      <c r="L966" s="27"/>
      <c r="M966" s="17"/>
      <c r="R966" s="3"/>
      <c r="T966" s="1"/>
    </row>
    <row r="967" spans="8:20" x14ac:dyDescent="0.35">
      <c r="H967" s="7"/>
      <c r="I967" s="7"/>
      <c r="J967" s="7"/>
      <c r="L967" s="27"/>
      <c r="M967" s="17"/>
      <c r="R967" s="3"/>
      <c r="T967" s="1"/>
    </row>
    <row r="968" spans="8:20" x14ac:dyDescent="0.35">
      <c r="H968" s="7"/>
      <c r="I968" s="7"/>
      <c r="J968" s="7"/>
      <c r="L968" s="27"/>
      <c r="M968" s="17"/>
      <c r="R968" s="3"/>
      <c r="T968" s="1"/>
    </row>
    <row r="969" spans="8:20" x14ac:dyDescent="0.35">
      <c r="H969" s="7"/>
      <c r="I969" s="7"/>
      <c r="J969" s="7"/>
      <c r="L969" s="27"/>
      <c r="M969" s="17"/>
      <c r="R969" s="3"/>
      <c r="T969" s="1"/>
    </row>
    <row r="970" spans="8:20" x14ac:dyDescent="0.35">
      <c r="H970" s="7"/>
      <c r="I970" s="7"/>
      <c r="J970" s="7"/>
      <c r="L970" s="27"/>
      <c r="M970" s="17"/>
      <c r="R970" s="3"/>
      <c r="T970" s="1"/>
    </row>
    <row r="971" spans="8:20" x14ac:dyDescent="0.35">
      <c r="H971" s="7"/>
      <c r="I971" s="7"/>
      <c r="J971" s="7"/>
      <c r="L971" s="27"/>
      <c r="M971" s="17"/>
      <c r="R971" s="3"/>
      <c r="T971" s="1"/>
    </row>
    <row r="972" spans="8:20" x14ac:dyDescent="0.35">
      <c r="H972" s="7"/>
      <c r="I972" s="7"/>
      <c r="J972" s="7"/>
      <c r="L972" s="27"/>
      <c r="M972" s="17"/>
      <c r="R972" s="3"/>
      <c r="T972" s="1"/>
    </row>
    <row r="973" spans="8:20" x14ac:dyDescent="0.35">
      <c r="H973" s="7"/>
      <c r="I973" s="7"/>
      <c r="J973" s="7"/>
      <c r="L973" s="27"/>
      <c r="M973" s="17"/>
      <c r="R973" s="3"/>
      <c r="T973" s="1"/>
    </row>
    <row r="974" spans="8:20" x14ac:dyDescent="0.35">
      <c r="H974" s="7"/>
      <c r="I974" s="7"/>
      <c r="J974" s="7"/>
      <c r="L974" s="27"/>
      <c r="M974" s="17"/>
      <c r="R974" s="3"/>
      <c r="T974" s="1"/>
    </row>
    <row r="975" spans="8:20" x14ac:dyDescent="0.35">
      <c r="H975" s="7"/>
      <c r="I975" s="7"/>
      <c r="J975" s="7"/>
      <c r="L975" s="27"/>
      <c r="M975" s="17"/>
      <c r="R975" s="3"/>
      <c r="T975" s="1"/>
    </row>
    <row r="976" spans="8:20" x14ac:dyDescent="0.35">
      <c r="H976" s="7"/>
      <c r="I976" s="7"/>
      <c r="J976" s="7"/>
      <c r="L976" s="27"/>
      <c r="M976" s="17"/>
      <c r="R976" s="3"/>
      <c r="T976" s="1"/>
    </row>
    <row r="977" spans="8:20" x14ac:dyDescent="0.35">
      <c r="H977" s="7"/>
      <c r="I977" s="7"/>
      <c r="J977" s="7"/>
      <c r="L977" s="27"/>
      <c r="M977" s="17"/>
      <c r="R977" s="3"/>
      <c r="T977" s="1"/>
    </row>
    <row r="978" spans="8:20" x14ac:dyDescent="0.35">
      <c r="H978" s="7"/>
      <c r="I978" s="7"/>
      <c r="J978" s="7"/>
      <c r="L978" s="27"/>
      <c r="M978" s="17"/>
      <c r="R978" s="3"/>
      <c r="T978" s="1"/>
    </row>
    <row r="979" spans="8:20" x14ac:dyDescent="0.35">
      <c r="H979" s="7"/>
      <c r="I979" s="7"/>
      <c r="J979" s="7"/>
      <c r="L979" s="27"/>
      <c r="M979" s="17"/>
      <c r="R979" s="3"/>
      <c r="T979" s="1"/>
    </row>
    <row r="980" spans="8:20" x14ac:dyDescent="0.35">
      <c r="H980" s="7"/>
      <c r="I980" s="7"/>
      <c r="J980" s="7"/>
      <c r="L980" s="27"/>
      <c r="M980" s="17"/>
      <c r="R980" s="3"/>
      <c r="T980" s="1"/>
    </row>
    <row r="981" spans="8:20" x14ac:dyDescent="0.35">
      <c r="H981" s="7"/>
      <c r="I981" s="7"/>
      <c r="J981" s="7"/>
      <c r="L981" s="27"/>
      <c r="M981" s="17"/>
      <c r="R981" s="3"/>
      <c r="T981" s="1"/>
    </row>
    <row r="982" spans="8:20" x14ac:dyDescent="0.35">
      <c r="H982" s="7"/>
      <c r="I982" s="7"/>
      <c r="J982" s="7"/>
      <c r="L982" s="27"/>
      <c r="M982" s="17"/>
      <c r="R982" s="3"/>
      <c r="T982" s="1"/>
    </row>
    <row r="983" spans="8:20" x14ac:dyDescent="0.35">
      <c r="H983" s="7"/>
      <c r="I983" s="7"/>
      <c r="J983" s="7"/>
      <c r="L983" s="27"/>
      <c r="M983" s="17"/>
      <c r="R983" s="3"/>
      <c r="T983" s="1"/>
    </row>
    <row r="984" spans="8:20" x14ac:dyDescent="0.35">
      <c r="H984" s="7"/>
      <c r="I984" s="7"/>
      <c r="J984" s="7"/>
      <c r="L984" s="27"/>
      <c r="M984" s="17"/>
      <c r="R984" s="3"/>
      <c r="T984" s="1"/>
    </row>
    <row r="985" spans="8:20" x14ac:dyDescent="0.35">
      <c r="H985" s="7"/>
      <c r="I985" s="7"/>
      <c r="J985" s="7"/>
      <c r="L985" s="27"/>
      <c r="M985" s="17"/>
      <c r="R985" s="3"/>
      <c r="T985" s="1"/>
    </row>
    <row r="986" spans="8:20" x14ac:dyDescent="0.35">
      <c r="H986" s="7"/>
      <c r="I986" s="7"/>
      <c r="J986" s="7"/>
      <c r="L986" s="27"/>
      <c r="M986" s="17"/>
      <c r="R986" s="3"/>
      <c r="T986" s="1"/>
    </row>
    <row r="987" spans="8:20" x14ac:dyDescent="0.35">
      <c r="H987" s="7"/>
      <c r="I987" s="7"/>
      <c r="J987" s="7"/>
      <c r="L987" s="27"/>
      <c r="M987" s="17"/>
      <c r="R987" s="3"/>
      <c r="T987" s="1"/>
    </row>
    <row r="988" spans="8:20" x14ac:dyDescent="0.35">
      <c r="H988" s="7"/>
      <c r="I988" s="7"/>
      <c r="J988" s="7"/>
      <c r="L988" s="27"/>
      <c r="M988" s="17"/>
      <c r="R988" s="3"/>
      <c r="T988" s="1"/>
    </row>
    <row r="989" spans="8:20" x14ac:dyDescent="0.35">
      <c r="H989" s="7"/>
      <c r="I989" s="7"/>
      <c r="J989" s="7"/>
      <c r="L989" s="27"/>
      <c r="M989" s="17"/>
      <c r="R989" s="3"/>
      <c r="T989" s="1"/>
    </row>
    <row r="990" spans="8:20" x14ac:dyDescent="0.35">
      <c r="H990" s="7"/>
      <c r="I990" s="7"/>
      <c r="J990" s="7"/>
      <c r="L990" s="27"/>
      <c r="M990" s="17"/>
      <c r="R990" s="3"/>
      <c r="T990" s="1"/>
    </row>
    <row r="991" spans="8:20" x14ac:dyDescent="0.35">
      <c r="H991" s="7"/>
      <c r="I991" s="7"/>
      <c r="J991" s="7"/>
      <c r="L991" s="27"/>
      <c r="M991" s="17"/>
      <c r="R991" s="3"/>
      <c r="T991" s="1"/>
    </row>
    <row r="992" spans="8:20" x14ac:dyDescent="0.35">
      <c r="H992" s="7"/>
      <c r="I992" s="7"/>
      <c r="J992" s="7"/>
      <c r="L992" s="27"/>
      <c r="M992" s="17"/>
      <c r="R992" s="3"/>
      <c r="T992" s="1"/>
    </row>
    <row r="993" spans="8:20" x14ac:dyDescent="0.35">
      <c r="H993" s="7"/>
      <c r="I993" s="7"/>
      <c r="J993" s="7"/>
      <c r="L993" s="27"/>
      <c r="M993" s="17"/>
      <c r="R993" s="3"/>
      <c r="T993" s="1"/>
    </row>
    <row r="994" spans="8:20" x14ac:dyDescent="0.35">
      <c r="H994" s="7"/>
      <c r="I994" s="7"/>
      <c r="J994" s="7"/>
      <c r="L994" s="27"/>
      <c r="M994" s="17"/>
      <c r="R994" s="3"/>
      <c r="T994" s="1"/>
    </row>
    <row r="995" spans="8:20" x14ac:dyDescent="0.35">
      <c r="H995" s="7"/>
      <c r="I995" s="7"/>
      <c r="J995" s="7"/>
      <c r="L995" s="27"/>
      <c r="M995" s="17"/>
      <c r="R995" s="3"/>
      <c r="T995" s="1"/>
    </row>
    <row r="996" spans="8:20" x14ac:dyDescent="0.35">
      <c r="H996" s="7"/>
      <c r="I996" s="7"/>
      <c r="J996" s="7"/>
      <c r="L996" s="27"/>
      <c r="M996" s="17"/>
      <c r="R996" s="3"/>
      <c r="T996" s="1"/>
    </row>
    <row r="997" spans="8:20" x14ac:dyDescent="0.35">
      <c r="H997" s="7"/>
      <c r="I997" s="7"/>
      <c r="J997" s="7"/>
      <c r="L997" s="27"/>
      <c r="M997" s="17"/>
      <c r="R997" s="3"/>
      <c r="T997" s="1"/>
    </row>
    <row r="998" spans="8:20" x14ac:dyDescent="0.35">
      <c r="H998" s="7"/>
      <c r="I998" s="7"/>
      <c r="J998" s="7"/>
      <c r="L998" s="27"/>
      <c r="M998" s="17"/>
      <c r="R998" s="3"/>
      <c r="T998" s="1"/>
    </row>
    <row r="999" spans="8:20" x14ac:dyDescent="0.35">
      <c r="H999" s="7"/>
      <c r="I999" s="7"/>
      <c r="J999" s="7"/>
      <c r="L999" s="27"/>
      <c r="M999" s="17"/>
      <c r="R999" s="3"/>
      <c r="T999" s="1"/>
    </row>
    <row r="1000" spans="8:20" x14ac:dyDescent="0.35">
      <c r="H1000" s="7"/>
      <c r="I1000" s="7"/>
      <c r="J1000" s="7"/>
      <c r="L1000" s="27"/>
      <c r="M1000" s="17"/>
      <c r="R1000" s="3"/>
      <c r="T1000" s="1"/>
    </row>
    <row r="1001" spans="8:20" x14ac:dyDescent="0.35">
      <c r="H1001" s="7"/>
      <c r="I1001" s="7"/>
      <c r="J1001" s="7"/>
      <c r="L1001" s="27"/>
      <c r="M1001" s="17"/>
      <c r="R1001" s="3"/>
      <c r="T1001" s="1"/>
    </row>
    <row r="1002" spans="8:20" x14ac:dyDescent="0.35">
      <c r="H1002" s="7"/>
      <c r="I1002" s="7"/>
      <c r="J1002" s="7"/>
      <c r="L1002" s="27"/>
      <c r="M1002" s="17"/>
      <c r="R1002" s="3"/>
      <c r="T1002" s="1"/>
    </row>
    <row r="1003" spans="8:20" x14ac:dyDescent="0.35">
      <c r="H1003" s="7"/>
      <c r="I1003" s="7"/>
      <c r="J1003" s="7"/>
      <c r="L1003" s="27"/>
      <c r="M1003" s="17"/>
      <c r="R1003" s="3"/>
      <c r="T1003" s="1"/>
    </row>
    <row r="1004" spans="8:20" x14ac:dyDescent="0.35">
      <c r="H1004" s="7"/>
      <c r="I1004" s="7"/>
      <c r="J1004" s="7"/>
      <c r="L1004" s="27"/>
      <c r="M1004" s="17"/>
      <c r="R1004" s="3"/>
      <c r="T1004" s="1"/>
    </row>
    <row r="1005" spans="8:20" x14ac:dyDescent="0.35">
      <c r="H1005" s="7"/>
      <c r="I1005" s="7"/>
      <c r="J1005" s="7"/>
      <c r="L1005" s="27"/>
      <c r="M1005" s="17"/>
      <c r="R1005" s="3"/>
      <c r="T1005" s="1"/>
    </row>
    <row r="1006" spans="8:20" x14ac:dyDescent="0.35">
      <c r="H1006" s="7"/>
      <c r="I1006" s="7"/>
      <c r="J1006" s="7"/>
      <c r="L1006" s="27"/>
      <c r="M1006" s="17"/>
      <c r="R1006" s="3"/>
      <c r="T1006" s="1"/>
    </row>
    <row r="1007" spans="8:20" x14ac:dyDescent="0.35">
      <c r="H1007" s="7"/>
      <c r="I1007" s="7"/>
      <c r="J1007" s="7"/>
      <c r="L1007" s="27"/>
      <c r="M1007" s="17"/>
      <c r="R1007" s="3"/>
      <c r="T1007" s="1"/>
    </row>
    <row r="1008" spans="8:20" x14ac:dyDescent="0.35">
      <c r="H1008" s="7"/>
      <c r="I1008" s="7"/>
      <c r="J1008" s="7"/>
      <c r="L1008" s="27"/>
      <c r="M1008" s="17"/>
      <c r="R1008" s="3"/>
      <c r="T1008" s="1"/>
    </row>
    <row r="1009" spans="8:21" x14ac:dyDescent="0.35">
      <c r="H1009" s="7"/>
      <c r="I1009" s="7"/>
      <c r="J1009" s="7"/>
      <c r="L1009" s="27"/>
      <c r="M1009" s="17"/>
      <c r="R1009" s="3"/>
      <c r="T1009" s="1"/>
    </row>
    <row r="1010" spans="8:21" x14ac:dyDescent="0.35">
      <c r="H1010" s="7"/>
      <c r="I1010" s="7"/>
      <c r="J1010" s="7"/>
      <c r="L1010" s="27"/>
      <c r="M1010" s="17"/>
      <c r="R1010" s="3"/>
      <c r="T1010" s="1"/>
    </row>
    <row r="1011" spans="8:21" x14ac:dyDescent="0.35">
      <c r="H1011" s="7"/>
      <c r="I1011" s="7"/>
      <c r="J1011" s="7"/>
      <c r="L1011" s="27"/>
      <c r="M1011" s="17"/>
      <c r="R1011" s="3"/>
      <c r="T1011" s="1"/>
    </row>
    <row r="1012" spans="8:21" x14ac:dyDescent="0.35">
      <c r="H1012" s="7"/>
      <c r="I1012" s="7"/>
      <c r="J1012" s="7"/>
      <c r="L1012" s="27"/>
      <c r="M1012" s="17"/>
      <c r="R1012" s="3"/>
      <c r="T1012" s="1"/>
    </row>
    <row r="1013" spans="8:21" x14ac:dyDescent="0.35">
      <c r="H1013" s="7"/>
      <c r="I1013" s="7"/>
      <c r="J1013" s="7"/>
      <c r="L1013" s="27"/>
      <c r="M1013" s="17"/>
      <c r="R1013" s="3"/>
      <c r="T1013" s="1"/>
    </row>
    <row r="1014" spans="8:21" x14ac:dyDescent="0.35">
      <c r="H1014" s="7"/>
      <c r="I1014" s="7"/>
      <c r="J1014" s="7"/>
      <c r="L1014" s="27"/>
      <c r="M1014" s="17"/>
      <c r="R1014" s="3"/>
      <c r="T1014" s="1"/>
    </row>
    <row r="1015" spans="8:21" x14ac:dyDescent="0.35">
      <c r="H1015" s="7"/>
      <c r="I1015" s="7"/>
      <c r="J1015" s="7"/>
      <c r="L1015" s="27"/>
      <c r="M1015" s="17"/>
      <c r="R1015" s="3"/>
      <c r="T1015" s="1"/>
    </row>
    <row r="1016" spans="8:21" x14ac:dyDescent="0.35">
      <c r="H1016" s="7"/>
      <c r="I1016" s="7"/>
      <c r="J1016" s="7"/>
      <c r="L1016" s="27"/>
      <c r="M1016" s="17"/>
      <c r="R1016" s="3"/>
      <c r="T1016" s="1"/>
    </row>
    <row r="1017" spans="8:21" x14ac:dyDescent="0.35">
      <c r="H1017" s="7"/>
      <c r="I1017" s="7"/>
      <c r="J1017" s="7"/>
      <c r="L1017" s="27"/>
      <c r="M1017" s="17"/>
      <c r="R1017" s="3"/>
      <c r="T1017" s="1"/>
      <c r="U1017" s="29"/>
    </row>
    <row r="1018" spans="8:21" x14ac:dyDescent="0.35">
      <c r="H1018" s="7"/>
      <c r="I1018" s="7"/>
      <c r="J1018" s="7"/>
      <c r="L1018" s="27"/>
      <c r="M1018" s="17"/>
      <c r="R1018" s="3"/>
      <c r="T1018" s="1"/>
    </row>
    <row r="1019" spans="8:21" x14ac:dyDescent="0.35">
      <c r="H1019" s="7"/>
      <c r="I1019" s="7"/>
      <c r="J1019" s="7"/>
      <c r="L1019" s="27"/>
      <c r="M1019" s="17"/>
      <c r="R1019" s="3"/>
      <c r="T1019" s="1"/>
    </row>
    <row r="1020" spans="8:21" x14ac:dyDescent="0.35">
      <c r="H1020" s="7"/>
      <c r="I1020" s="7"/>
      <c r="J1020" s="7"/>
      <c r="L1020" s="27"/>
      <c r="M1020" s="17"/>
      <c r="R1020" s="3"/>
      <c r="T1020" s="1"/>
    </row>
    <row r="1021" spans="8:21" x14ac:dyDescent="0.35">
      <c r="H1021" s="7"/>
      <c r="I1021" s="7"/>
      <c r="J1021" s="7"/>
      <c r="L1021" s="27"/>
      <c r="M1021" s="17"/>
      <c r="R1021" s="3"/>
      <c r="T1021" s="1"/>
    </row>
    <row r="1022" spans="8:21" x14ac:dyDescent="0.35">
      <c r="H1022" s="7"/>
      <c r="I1022" s="7"/>
      <c r="J1022" s="7"/>
      <c r="L1022" s="27"/>
      <c r="M1022" s="17"/>
      <c r="R1022" s="3"/>
      <c r="T1022" s="1"/>
    </row>
    <row r="1023" spans="8:21" x14ac:dyDescent="0.35">
      <c r="H1023" s="7"/>
      <c r="I1023" s="7"/>
      <c r="J1023" s="7"/>
      <c r="L1023" s="27"/>
      <c r="M1023" s="17"/>
      <c r="R1023" s="3"/>
      <c r="T1023" s="1"/>
    </row>
    <row r="1024" spans="8:21" x14ac:dyDescent="0.35">
      <c r="H1024" s="7"/>
      <c r="I1024" s="7"/>
      <c r="J1024" s="7"/>
      <c r="L1024" s="27"/>
      <c r="M1024" s="17"/>
      <c r="R1024" s="3"/>
      <c r="T1024" s="1"/>
    </row>
    <row r="1025" spans="8:20" x14ac:dyDescent="0.35">
      <c r="H1025" s="7"/>
      <c r="I1025" s="7"/>
      <c r="J1025" s="7"/>
      <c r="L1025" s="27"/>
      <c r="M1025" s="17"/>
      <c r="R1025" s="3"/>
      <c r="T1025" s="1"/>
    </row>
    <row r="1026" spans="8:20" x14ac:dyDescent="0.35">
      <c r="H1026" s="7"/>
      <c r="I1026" s="7"/>
      <c r="J1026" s="7"/>
      <c r="L1026" s="27"/>
      <c r="M1026" s="17"/>
      <c r="R1026" s="3"/>
      <c r="T1026" s="1"/>
    </row>
    <row r="1027" spans="8:20" x14ac:dyDescent="0.35">
      <c r="H1027" s="7"/>
      <c r="I1027" s="7"/>
      <c r="J1027" s="7"/>
      <c r="L1027" s="27"/>
      <c r="M1027" s="17"/>
      <c r="R1027" s="3"/>
      <c r="T1027" s="1"/>
    </row>
    <row r="1028" spans="8:20" x14ac:dyDescent="0.35">
      <c r="H1028" s="7"/>
      <c r="I1028" s="7"/>
      <c r="J1028" s="7"/>
      <c r="L1028" s="27"/>
      <c r="M1028" s="17"/>
      <c r="R1028" s="3"/>
      <c r="T1028" s="1"/>
    </row>
    <row r="1029" spans="8:20" x14ac:dyDescent="0.35">
      <c r="H1029" s="7"/>
      <c r="I1029" s="7"/>
      <c r="J1029" s="7"/>
      <c r="L1029" s="27"/>
      <c r="M1029" s="17"/>
      <c r="R1029" s="3"/>
      <c r="T1029" s="1"/>
    </row>
    <row r="1030" spans="8:20" x14ac:dyDescent="0.35">
      <c r="H1030" s="7"/>
      <c r="I1030" s="7"/>
      <c r="J1030" s="7"/>
      <c r="L1030" s="27"/>
      <c r="M1030" s="17"/>
      <c r="R1030" s="3"/>
      <c r="T1030" s="1"/>
    </row>
    <row r="1031" spans="8:20" x14ac:dyDescent="0.35">
      <c r="H1031" s="7"/>
      <c r="I1031" s="7"/>
      <c r="J1031" s="7"/>
      <c r="L1031" s="27"/>
      <c r="M1031" s="17"/>
      <c r="R1031" s="3"/>
      <c r="T1031" s="1"/>
    </row>
    <row r="1032" spans="8:20" x14ac:dyDescent="0.35">
      <c r="H1032" s="7"/>
      <c r="I1032" s="7"/>
      <c r="J1032" s="7"/>
      <c r="L1032" s="27"/>
      <c r="M1032" s="17"/>
      <c r="R1032" s="3"/>
      <c r="T1032" s="1"/>
    </row>
    <row r="1033" spans="8:20" x14ac:dyDescent="0.35">
      <c r="H1033" s="7"/>
      <c r="I1033" s="7"/>
      <c r="J1033" s="7"/>
      <c r="L1033" s="27"/>
      <c r="M1033" s="17"/>
      <c r="R1033" s="3"/>
      <c r="T1033" s="1"/>
    </row>
    <row r="1034" spans="8:20" x14ac:dyDescent="0.35">
      <c r="H1034" s="7"/>
      <c r="I1034" s="7"/>
      <c r="J1034" s="7"/>
      <c r="L1034" s="27"/>
      <c r="M1034" s="17"/>
      <c r="R1034" s="3"/>
      <c r="T1034" s="1"/>
    </row>
    <row r="1035" spans="8:20" x14ac:dyDescent="0.35">
      <c r="H1035" s="7"/>
      <c r="I1035" s="7"/>
      <c r="J1035" s="7"/>
      <c r="L1035" s="27"/>
      <c r="M1035" s="17"/>
      <c r="R1035" s="3"/>
      <c r="T1035" s="1"/>
    </row>
    <row r="1036" spans="8:20" x14ac:dyDescent="0.35">
      <c r="H1036" s="7"/>
      <c r="I1036" s="7"/>
      <c r="J1036" s="7"/>
      <c r="L1036" s="27"/>
      <c r="M1036" s="17"/>
      <c r="R1036" s="3"/>
      <c r="T1036" s="1"/>
    </row>
    <row r="1037" spans="8:20" x14ac:dyDescent="0.35">
      <c r="H1037" s="7"/>
      <c r="I1037" s="7"/>
      <c r="J1037" s="7"/>
      <c r="L1037" s="27"/>
      <c r="M1037" s="17"/>
      <c r="R1037" s="3"/>
      <c r="T1037" s="1"/>
    </row>
    <row r="1038" spans="8:20" x14ac:dyDescent="0.35">
      <c r="H1038" s="7"/>
      <c r="I1038" s="7"/>
      <c r="J1038" s="7"/>
      <c r="L1038" s="27"/>
      <c r="M1038" s="17"/>
      <c r="R1038" s="3"/>
      <c r="T1038" s="1"/>
    </row>
    <row r="1039" spans="8:20" x14ac:dyDescent="0.35">
      <c r="H1039" s="7"/>
      <c r="I1039" s="7"/>
      <c r="J1039" s="7"/>
      <c r="L1039" s="27"/>
      <c r="M1039" s="17"/>
      <c r="R1039" s="3"/>
      <c r="T1039" s="1"/>
    </row>
    <row r="1040" spans="8:20" x14ac:dyDescent="0.35">
      <c r="H1040" s="7"/>
      <c r="I1040" s="7"/>
      <c r="J1040" s="7"/>
      <c r="L1040" s="27"/>
      <c r="M1040" s="17"/>
      <c r="R1040" s="3"/>
      <c r="T1040" s="1"/>
    </row>
    <row r="1041" spans="8:20" x14ac:dyDescent="0.35">
      <c r="H1041" s="7"/>
      <c r="I1041" s="7"/>
      <c r="J1041" s="7"/>
      <c r="L1041" s="27"/>
      <c r="M1041" s="17"/>
      <c r="R1041" s="3"/>
      <c r="T1041" s="1"/>
    </row>
    <row r="1042" spans="8:20" x14ac:dyDescent="0.35">
      <c r="H1042" s="7"/>
      <c r="I1042" s="7"/>
      <c r="J1042" s="7"/>
      <c r="L1042" s="27"/>
      <c r="M1042" s="17"/>
      <c r="R1042" s="3"/>
      <c r="T1042" s="1"/>
    </row>
    <row r="1043" spans="8:20" x14ac:dyDescent="0.35">
      <c r="H1043" s="7"/>
      <c r="I1043" s="7"/>
      <c r="J1043" s="7"/>
      <c r="L1043" s="27"/>
      <c r="M1043" s="17"/>
      <c r="R1043" s="3"/>
      <c r="T1043" s="1"/>
    </row>
    <row r="1044" spans="8:20" x14ac:dyDescent="0.35">
      <c r="H1044" s="7"/>
      <c r="I1044" s="7"/>
      <c r="J1044" s="7"/>
      <c r="L1044" s="27"/>
      <c r="M1044" s="17"/>
      <c r="R1044" s="3"/>
      <c r="T1044" s="1"/>
    </row>
    <row r="1045" spans="8:20" x14ac:dyDescent="0.35">
      <c r="H1045" s="7"/>
      <c r="I1045" s="7"/>
      <c r="J1045" s="7"/>
      <c r="L1045" s="27"/>
      <c r="M1045" s="17"/>
      <c r="R1045" s="3"/>
      <c r="T1045" s="1"/>
    </row>
    <row r="1046" spans="8:20" x14ac:dyDescent="0.35">
      <c r="H1046" s="7"/>
      <c r="I1046" s="7"/>
      <c r="J1046" s="7"/>
      <c r="L1046" s="27"/>
      <c r="M1046" s="17"/>
      <c r="R1046" s="3"/>
      <c r="T1046" s="1"/>
    </row>
    <row r="1047" spans="8:20" x14ac:dyDescent="0.35">
      <c r="H1047" s="7"/>
      <c r="I1047" s="7"/>
      <c r="J1047" s="7"/>
      <c r="L1047" s="27"/>
      <c r="M1047" s="17"/>
      <c r="R1047" s="3"/>
      <c r="T1047" s="1"/>
    </row>
    <row r="1048" spans="8:20" x14ac:dyDescent="0.35">
      <c r="H1048" s="7"/>
      <c r="I1048" s="7"/>
      <c r="J1048" s="7"/>
      <c r="L1048" s="27"/>
      <c r="M1048" s="17"/>
      <c r="R1048" s="3"/>
      <c r="T1048" s="1"/>
    </row>
    <row r="1049" spans="8:20" x14ac:dyDescent="0.35">
      <c r="H1049" s="7"/>
      <c r="I1049" s="7"/>
      <c r="J1049" s="7"/>
      <c r="L1049" s="27"/>
      <c r="M1049" s="17"/>
      <c r="R1049" s="3"/>
      <c r="T1049" s="1"/>
    </row>
    <row r="1050" spans="8:20" x14ac:dyDescent="0.35">
      <c r="H1050" s="7"/>
      <c r="I1050" s="7"/>
      <c r="J1050" s="7"/>
      <c r="L1050" s="27"/>
      <c r="M1050" s="17"/>
      <c r="R1050" s="3"/>
      <c r="T1050" s="1"/>
    </row>
    <row r="1051" spans="8:20" x14ac:dyDescent="0.35">
      <c r="H1051" s="7"/>
      <c r="I1051" s="7"/>
      <c r="J1051" s="7"/>
      <c r="L1051" s="27"/>
      <c r="M1051" s="17"/>
      <c r="R1051" s="3"/>
      <c r="T1051" s="1"/>
    </row>
    <row r="1052" spans="8:20" x14ac:dyDescent="0.35">
      <c r="H1052" s="7"/>
      <c r="I1052" s="7"/>
      <c r="J1052" s="7"/>
      <c r="L1052" s="27"/>
      <c r="M1052" s="17"/>
      <c r="R1052" s="3"/>
      <c r="T1052" s="1"/>
    </row>
    <row r="1053" spans="8:20" x14ac:dyDescent="0.35">
      <c r="H1053" s="7"/>
      <c r="I1053" s="7"/>
      <c r="J1053" s="7"/>
      <c r="L1053" s="27"/>
      <c r="M1053" s="17"/>
      <c r="R1053" s="3"/>
      <c r="T1053" s="1"/>
    </row>
    <row r="1054" spans="8:20" x14ac:dyDescent="0.35">
      <c r="H1054" s="7"/>
      <c r="I1054" s="7"/>
      <c r="J1054" s="7"/>
      <c r="L1054" s="27"/>
      <c r="M1054" s="17"/>
      <c r="R1054" s="3"/>
      <c r="T1054" s="1"/>
    </row>
    <row r="1055" spans="8:20" x14ac:dyDescent="0.35">
      <c r="H1055" s="7"/>
      <c r="I1055" s="7"/>
      <c r="J1055" s="7"/>
      <c r="L1055" s="27"/>
      <c r="M1055" s="17"/>
      <c r="R1055" s="3"/>
      <c r="T1055" s="1"/>
    </row>
    <row r="1056" spans="8:20" x14ac:dyDescent="0.35">
      <c r="H1056" s="7"/>
      <c r="I1056" s="7"/>
      <c r="J1056" s="7"/>
      <c r="L1056" s="27"/>
      <c r="M1056" s="17"/>
      <c r="R1056" s="3"/>
      <c r="T1056" s="1"/>
    </row>
    <row r="1057" spans="8:20" x14ac:dyDescent="0.35">
      <c r="H1057" s="7"/>
      <c r="I1057" s="7"/>
      <c r="J1057" s="7"/>
      <c r="L1057" s="27"/>
      <c r="M1057" s="17"/>
      <c r="R1057" s="3"/>
      <c r="T1057" s="1"/>
    </row>
    <row r="1058" spans="8:20" x14ac:dyDescent="0.35">
      <c r="H1058" s="7"/>
      <c r="I1058" s="7"/>
      <c r="J1058" s="7"/>
      <c r="L1058" s="27"/>
      <c r="M1058" s="17"/>
      <c r="R1058" s="3"/>
      <c r="T1058" s="1"/>
    </row>
    <row r="1059" spans="8:20" x14ac:dyDescent="0.35">
      <c r="H1059" s="7"/>
      <c r="I1059" s="7"/>
      <c r="J1059" s="7"/>
      <c r="L1059" s="27"/>
      <c r="M1059" s="17"/>
      <c r="R1059" s="3"/>
      <c r="T1059" s="1"/>
    </row>
    <row r="1060" spans="8:20" x14ac:dyDescent="0.35">
      <c r="H1060" s="7"/>
      <c r="I1060" s="7"/>
      <c r="J1060" s="7"/>
      <c r="L1060" s="27"/>
      <c r="M1060" s="17"/>
      <c r="R1060" s="3"/>
      <c r="T1060" s="1"/>
    </row>
    <row r="1061" spans="8:20" x14ac:dyDescent="0.35">
      <c r="H1061" s="7"/>
      <c r="I1061" s="7"/>
      <c r="J1061" s="7"/>
      <c r="L1061" s="27"/>
      <c r="M1061" s="17"/>
      <c r="R1061" s="3"/>
      <c r="T1061" s="1"/>
    </row>
    <row r="1062" spans="8:20" x14ac:dyDescent="0.35">
      <c r="H1062" s="7"/>
      <c r="I1062" s="7"/>
      <c r="J1062" s="7"/>
      <c r="L1062" s="27"/>
      <c r="M1062" s="17"/>
      <c r="R1062" s="3"/>
      <c r="T1062" s="1"/>
    </row>
    <row r="1063" spans="8:20" x14ac:dyDescent="0.35">
      <c r="H1063" s="7"/>
      <c r="I1063" s="7"/>
      <c r="J1063" s="7"/>
      <c r="L1063" s="27"/>
      <c r="M1063" s="17"/>
      <c r="R1063" s="3"/>
      <c r="T1063" s="1"/>
    </row>
    <row r="1064" spans="8:20" x14ac:dyDescent="0.35">
      <c r="H1064" s="7"/>
      <c r="I1064" s="7"/>
      <c r="J1064" s="7"/>
      <c r="L1064" s="27"/>
      <c r="M1064" s="17"/>
      <c r="R1064" s="3"/>
      <c r="T1064" s="1"/>
    </row>
    <row r="1065" spans="8:20" x14ac:dyDescent="0.35">
      <c r="H1065" s="7"/>
      <c r="I1065" s="7"/>
      <c r="J1065" s="7"/>
      <c r="L1065" s="27"/>
      <c r="M1065" s="17"/>
      <c r="R1065" s="3"/>
      <c r="T1065" s="1"/>
    </row>
    <row r="1066" spans="8:20" x14ac:dyDescent="0.35">
      <c r="H1066" s="7"/>
      <c r="I1066" s="7"/>
      <c r="J1066" s="7"/>
      <c r="L1066" s="27"/>
      <c r="M1066" s="17"/>
      <c r="R1066" s="3"/>
      <c r="T1066" s="1"/>
    </row>
    <row r="1067" spans="8:20" x14ac:dyDescent="0.35">
      <c r="H1067" s="7"/>
      <c r="I1067" s="7"/>
      <c r="J1067" s="7"/>
      <c r="L1067" s="27"/>
      <c r="M1067" s="17"/>
      <c r="R1067" s="3"/>
      <c r="T1067" s="1"/>
    </row>
    <row r="1068" spans="8:20" x14ac:dyDescent="0.35">
      <c r="H1068" s="7"/>
      <c r="I1068" s="7"/>
      <c r="J1068" s="7"/>
      <c r="L1068" s="27"/>
      <c r="M1068" s="17"/>
      <c r="R1068" s="3"/>
      <c r="T1068" s="1"/>
    </row>
    <row r="1069" spans="8:20" x14ac:dyDescent="0.35">
      <c r="H1069" s="7"/>
      <c r="I1069" s="7"/>
      <c r="J1069" s="7"/>
      <c r="L1069" s="27"/>
      <c r="M1069" s="17"/>
      <c r="R1069" s="3"/>
      <c r="T1069" s="1"/>
    </row>
    <row r="1070" spans="8:20" x14ac:dyDescent="0.35">
      <c r="H1070" s="7"/>
      <c r="I1070" s="7"/>
      <c r="J1070" s="7"/>
      <c r="L1070" s="27"/>
      <c r="M1070" s="17"/>
      <c r="R1070" s="3"/>
      <c r="T1070" s="1"/>
    </row>
    <row r="1071" spans="8:20" x14ac:dyDescent="0.35">
      <c r="H1071" s="7"/>
      <c r="I1071" s="7"/>
      <c r="J1071" s="7"/>
      <c r="L1071" s="27"/>
      <c r="M1071" s="17"/>
      <c r="R1071" s="3"/>
      <c r="T1071" s="1"/>
    </row>
    <row r="1072" spans="8:20" x14ac:dyDescent="0.35">
      <c r="H1072" s="7"/>
      <c r="I1072" s="7"/>
      <c r="J1072" s="7"/>
      <c r="L1072" s="27"/>
      <c r="M1072" s="17"/>
      <c r="R1072" s="3"/>
      <c r="T1072" s="1"/>
    </row>
    <row r="1073" spans="8:21" x14ac:dyDescent="0.35">
      <c r="H1073" s="7"/>
      <c r="I1073" s="7"/>
      <c r="J1073" s="7"/>
      <c r="L1073" s="27"/>
      <c r="M1073" s="17"/>
      <c r="R1073" s="3"/>
      <c r="T1073" s="1"/>
    </row>
    <row r="1074" spans="8:21" x14ac:dyDescent="0.35">
      <c r="H1074" s="7"/>
      <c r="I1074" s="7"/>
      <c r="J1074" s="7"/>
      <c r="L1074" s="27"/>
      <c r="M1074" s="17"/>
      <c r="R1074" s="3"/>
      <c r="T1074" s="1"/>
    </row>
    <row r="1075" spans="8:21" x14ac:dyDescent="0.35">
      <c r="H1075" s="7"/>
      <c r="I1075" s="7"/>
      <c r="J1075" s="7"/>
      <c r="L1075" s="27"/>
      <c r="M1075" s="17"/>
      <c r="R1075" s="3"/>
      <c r="T1075" s="1"/>
    </row>
    <row r="1076" spans="8:21" x14ac:dyDescent="0.35">
      <c r="H1076" s="7"/>
      <c r="I1076" s="7"/>
      <c r="J1076" s="7"/>
      <c r="L1076" s="27"/>
      <c r="M1076" s="17"/>
      <c r="R1076" s="3"/>
      <c r="T1076" s="1"/>
    </row>
    <row r="1077" spans="8:21" x14ac:dyDescent="0.35">
      <c r="H1077" s="7"/>
      <c r="I1077" s="7"/>
      <c r="J1077" s="7"/>
      <c r="L1077" s="27"/>
      <c r="M1077" s="17"/>
      <c r="R1077" s="3"/>
      <c r="T1077" s="1"/>
    </row>
    <row r="1078" spans="8:21" x14ac:dyDescent="0.35">
      <c r="H1078" s="7"/>
      <c r="I1078" s="7"/>
      <c r="J1078" s="7"/>
      <c r="L1078" s="27"/>
      <c r="M1078" s="17"/>
      <c r="R1078" s="3"/>
      <c r="T1078" s="1"/>
    </row>
    <row r="1079" spans="8:21" x14ac:dyDescent="0.35">
      <c r="H1079" s="7"/>
      <c r="I1079" s="7"/>
      <c r="J1079" s="7"/>
      <c r="L1079" s="27"/>
      <c r="M1079" s="17"/>
      <c r="R1079" s="3"/>
      <c r="T1079" s="1"/>
    </row>
    <row r="1080" spans="8:21" x14ac:dyDescent="0.35">
      <c r="H1080" s="7"/>
      <c r="I1080" s="7"/>
      <c r="J1080" s="7"/>
      <c r="L1080" s="27"/>
      <c r="M1080" s="17"/>
      <c r="R1080" s="3"/>
      <c r="T1080" s="1"/>
      <c r="U1080" s="29"/>
    </row>
    <row r="1081" spans="8:21" x14ac:dyDescent="0.35">
      <c r="H1081" s="7"/>
      <c r="I1081" s="7"/>
      <c r="J1081" s="7"/>
      <c r="L1081" s="27"/>
      <c r="M1081" s="17"/>
      <c r="R1081" s="3"/>
      <c r="T1081" s="1"/>
    </row>
    <row r="1082" spans="8:21" x14ac:dyDescent="0.35">
      <c r="H1082" s="7"/>
      <c r="I1082" s="7"/>
      <c r="J1082" s="7"/>
      <c r="L1082" s="27"/>
      <c r="M1082" s="17"/>
      <c r="R1082" s="3"/>
      <c r="T1082" s="1"/>
    </row>
    <row r="1083" spans="8:21" x14ac:dyDescent="0.35">
      <c r="H1083" s="7"/>
      <c r="I1083" s="7"/>
      <c r="J1083" s="7"/>
      <c r="L1083" s="27"/>
      <c r="M1083" s="17"/>
      <c r="R1083" s="3"/>
      <c r="T1083" s="1"/>
    </row>
    <row r="1084" spans="8:21" x14ac:dyDescent="0.35">
      <c r="H1084" s="7"/>
      <c r="I1084" s="7"/>
      <c r="J1084" s="7"/>
      <c r="L1084" s="27"/>
      <c r="M1084" s="17"/>
      <c r="R1084" s="3"/>
      <c r="T1084" s="1"/>
    </row>
    <row r="1085" spans="8:21" x14ac:dyDescent="0.35">
      <c r="H1085" s="7"/>
      <c r="I1085" s="7"/>
      <c r="J1085" s="7"/>
      <c r="L1085" s="27"/>
      <c r="M1085" s="17"/>
      <c r="R1085" s="3"/>
      <c r="T1085" s="1"/>
    </row>
    <row r="1086" spans="8:21" x14ac:dyDescent="0.35">
      <c r="H1086" s="7"/>
      <c r="I1086" s="7"/>
      <c r="J1086" s="7"/>
      <c r="L1086" s="27"/>
      <c r="M1086" s="17"/>
      <c r="R1086" s="3"/>
      <c r="T1086" s="1"/>
    </row>
    <row r="1087" spans="8:21" x14ac:dyDescent="0.35">
      <c r="H1087" s="7"/>
      <c r="I1087" s="7"/>
      <c r="J1087" s="7"/>
      <c r="L1087" s="27"/>
      <c r="M1087" s="17"/>
      <c r="R1087" s="3"/>
      <c r="T1087" s="1"/>
    </row>
    <row r="1088" spans="8:21" x14ac:dyDescent="0.35">
      <c r="H1088" s="7"/>
      <c r="I1088" s="7"/>
      <c r="J1088" s="7"/>
      <c r="L1088" s="27"/>
      <c r="M1088" s="17"/>
      <c r="R1088" s="3"/>
      <c r="T1088" s="1"/>
    </row>
    <row r="1089" spans="8:20" x14ac:dyDescent="0.35">
      <c r="H1089" s="7"/>
      <c r="I1089" s="7"/>
      <c r="J1089" s="7"/>
      <c r="L1089" s="27"/>
      <c r="M1089" s="17"/>
      <c r="R1089" s="3"/>
      <c r="T1089" s="1"/>
    </row>
    <row r="1090" spans="8:20" x14ac:dyDescent="0.35">
      <c r="H1090" s="7"/>
      <c r="I1090" s="7"/>
      <c r="J1090" s="7"/>
      <c r="L1090" s="27"/>
      <c r="M1090" s="17"/>
      <c r="R1090" s="3"/>
      <c r="T1090" s="1"/>
    </row>
    <row r="1091" spans="8:20" x14ac:dyDescent="0.35">
      <c r="H1091" s="7"/>
      <c r="I1091" s="7"/>
      <c r="J1091" s="7"/>
      <c r="L1091" s="27"/>
      <c r="M1091" s="17"/>
      <c r="R1091" s="3"/>
      <c r="T1091" s="1"/>
    </row>
    <row r="1092" spans="8:20" x14ac:dyDescent="0.35">
      <c r="H1092" s="7"/>
      <c r="I1092" s="7"/>
      <c r="J1092" s="7"/>
      <c r="L1092" s="27"/>
      <c r="M1092" s="17"/>
      <c r="R1092" s="3"/>
      <c r="T1092" s="1"/>
    </row>
    <row r="1093" spans="8:20" x14ac:dyDescent="0.35">
      <c r="H1093" s="7"/>
      <c r="I1093" s="7"/>
      <c r="J1093" s="7"/>
      <c r="L1093" s="27"/>
      <c r="M1093" s="17"/>
      <c r="R1093" s="3"/>
      <c r="T1093" s="1"/>
    </row>
    <row r="1094" spans="8:20" x14ac:dyDescent="0.35">
      <c r="H1094" s="7"/>
      <c r="I1094" s="7"/>
      <c r="J1094" s="7"/>
      <c r="L1094" s="27"/>
      <c r="M1094" s="17"/>
      <c r="R1094" s="3"/>
      <c r="T1094" s="1"/>
    </row>
    <row r="1095" spans="8:20" x14ac:dyDescent="0.35">
      <c r="H1095" s="7"/>
      <c r="I1095" s="7"/>
      <c r="J1095" s="7"/>
      <c r="L1095" s="27"/>
      <c r="M1095" s="17"/>
      <c r="R1095" s="3"/>
      <c r="T1095" s="1"/>
    </row>
    <row r="1096" spans="8:20" x14ac:dyDescent="0.35">
      <c r="H1096" s="7"/>
      <c r="I1096" s="7"/>
      <c r="J1096" s="7"/>
      <c r="L1096" s="27"/>
      <c r="M1096" s="17"/>
      <c r="R1096" s="3"/>
      <c r="T1096" s="1"/>
    </row>
    <row r="1097" spans="8:20" x14ac:dyDescent="0.35">
      <c r="H1097" s="7"/>
      <c r="I1097" s="7"/>
      <c r="J1097" s="7"/>
      <c r="L1097" s="27"/>
      <c r="M1097" s="17"/>
      <c r="R1097" s="3"/>
      <c r="T1097" s="1"/>
    </row>
    <row r="1098" spans="8:20" x14ac:dyDescent="0.35">
      <c r="H1098" s="7"/>
      <c r="I1098" s="7"/>
      <c r="J1098" s="7"/>
      <c r="L1098" s="27"/>
      <c r="M1098" s="17"/>
      <c r="R1098" s="3"/>
      <c r="T1098" s="1"/>
    </row>
    <row r="1099" spans="8:20" x14ac:dyDescent="0.35">
      <c r="H1099" s="7"/>
      <c r="I1099" s="7"/>
      <c r="J1099" s="7"/>
      <c r="L1099" s="27"/>
      <c r="M1099" s="17"/>
      <c r="R1099" s="3"/>
      <c r="T1099" s="1"/>
    </row>
    <row r="1100" spans="8:20" x14ac:dyDescent="0.35">
      <c r="H1100" s="7"/>
      <c r="I1100" s="7"/>
      <c r="J1100" s="7"/>
      <c r="L1100" s="27"/>
      <c r="M1100" s="17"/>
      <c r="R1100" s="3"/>
      <c r="T1100" s="1"/>
    </row>
    <row r="1101" spans="8:20" x14ac:dyDescent="0.35">
      <c r="H1101" s="7"/>
      <c r="I1101" s="7"/>
      <c r="J1101" s="7"/>
      <c r="L1101" s="27"/>
      <c r="M1101" s="17"/>
      <c r="R1101" s="3"/>
      <c r="T1101" s="1"/>
    </row>
    <row r="1102" spans="8:20" x14ac:dyDescent="0.35">
      <c r="H1102" s="7"/>
      <c r="I1102" s="7"/>
      <c r="J1102" s="7"/>
      <c r="L1102" s="27"/>
      <c r="M1102" s="17"/>
      <c r="R1102" s="3"/>
      <c r="T1102" s="1"/>
    </row>
    <row r="1103" spans="8:20" x14ac:dyDescent="0.35">
      <c r="H1103" s="7"/>
      <c r="I1103" s="7"/>
      <c r="J1103" s="7"/>
      <c r="L1103" s="27"/>
      <c r="M1103" s="17"/>
      <c r="R1103" s="3"/>
      <c r="T1103" s="1"/>
    </row>
    <row r="1104" spans="8:20" x14ac:dyDescent="0.35">
      <c r="H1104" s="7"/>
      <c r="I1104" s="7"/>
      <c r="J1104" s="7"/>
      <c r="L1104" s="27"/>
      <c r="M1104" s="17"/>
      <c r="R1104" s="3"/>
      <c r="T1104" s="1"/>
    </row>
    <row r="1105" spans="8:20" x14ac:dyDescent="0.35">
      <c r="H1105" s="7"/>
      <c r="I1105" s="7"/>
      <c r="J1105" s="7"/>
      <c r="L1105" s="27"/>
      <c r="M1105" s="17"/>
      <c r="R1105" s="3"/>
      <c r="T1105" s="1"/>
    </row>
    <row r="1106" spans="8:20" x14ac:dyDescent="0.35">
      <c r="H1106" s="7"/>
      <c r="I1106" s="7"/>
      <c r="J1106" s="7"/>
      <c r="L1106" s="27"/>
      <c r="M1106" s="17"/>
      <c r="R1106" s="3"/>
      <c r="T1106" s="1"/>
    </row>
    <row r="1107" spans="8:20" x14ac:dyDescent="0.35">
      <c r="H1107" s="7"/>
      <c r="I1107" s="7"/>
      <c r="J1107" s="7"/>
      <c r="L1107" s="27"/>
      <c r="M1107" s="17"/>
      <c r="R1107" s="3"/>
      <c r="T1107" s="1"/>
    </row>
    <row r="1108" spans="8:20" x14ac:dyDescent="0.35">
      <c r="H1108" s="7"/>
      <c r="I1108" s="7"/>
      <c r="J1108" s="7"/>
      <c r="L1108" s="27"/>
      <c r="M1108" s="17"/>
      <c r="R1108" s="3"/>
      <c r="T1108" s="1"/>
    </row>
    <row r="1109" spans="8:20" x14ac:dyDescent="0.35">
      <c r="H1109" s="7"/>
      <c r="I1109" s="7"/>
      <c r="J1109" s="7"/>
      <c r="L1109" s="27"/>
      <c r="M1109" s="17"/>
      <c r="R1109" s="3"/>
      <c r="T1109" s="1"/>
    </row>
    <row r="1110" spans="8:20" x14ac:dyDescent="0.35">
      <c r="H1110" s="7"/>
      <c r="I1110" s="7"/>
      <c r="J1110" s="7"/>
      <c r="L1110" s="28"/>
      <c r="M1110" s="17"/>
      <c r="R1110" s="3"/>
      <c r="T1110" s="1"/>
    </row>
    <row r="1111" spans="8:20" x14ac:dyDescent="0.35">
      <c r="H1111" s="7"/>
      <c r="I1111" s="7"/>
      <c r="J1111" s="7"/>
      <c r="L1111" s="27"/>
      <c r="M1111" s="17"/>
      <c r="R1111" s="3"/>
      <c r="T1111" s="1"/>
    </row>
    <row r="1112" spans="8:20" x14ac:dyDescent="0.35">
      <c r="H1112" s="7"/>
      <c r="I1112" s="7"/>
      <c r="J1112" s="7"/>
      <c r="L1112" s="27"/>
      <c r="M1112" s="17"/>
      <c r="R1112" s="3"/>
      <c r="T1112" s="1"/>
    </row>
    <row r="1113" spans="8:20" x14ac:dyDescent="0.35">
      <c r="H1113" s="7"/>
      <c r="I1113" s="7"/>
      <c r="J1113" s="7"/>
      <c r="L1113" s="27"/>
      <c r="M1113" s="17"/>
      <c r="R1113" s="3"/>
      <c r="T1113" s="1"/>
    </row>
    <row r="1114" spans="8:20" x14ac:dyDescent="0.35">
      <c r="H1114" s="7"/>
      <c r="I1114" s="7"/>
      <c r="J1114" s="7"/>
      <c r="L1114" s="27"/>
      <c r="M1114" s="17"/>
      <c r="R1114" s="3"/>
      <c r="T1114" s="1"/>
    </row>
    <row r="1115" spans="8:20" x14ac:dyDescent="0.35">
      <c r="H1115" s="7"/>
      <c r="I1115" s="7"/>
      <c r="J1115" s="7"/>
      <c r="L1115" s="27"/>
      <c r="M1115" s="17"/>
      <c r="R1115" s="3"/>
      <c r="T1115" s="1"/>
    </row>
    <row r="1116" spans="8:20" x14ac:dyDescent="0.35">
      <c r="H1116" s="7"/>
      <c r="I1116" s="7"/>
      <c r="J1116" s="7"/>
      <c r="L1116" s="27"/>
      <c r="M1116" s="17"/>
      <c r="R1116" s="3"/>
      <c r="T1116" s="1"/>
    </row>
    <row r="1117" spans="8:20" x14ac:dyDescent="0.35">
      <c r="H1117" s="7"/>
      <c r="I1117" s="7"/>
      <c r="J1117" s="7"/>
      <c r="L1117" s="27"/>
      <c r="M1117" s="17"/>
      <c r="R1117" s="3"/>
      <c r="T1117" s="1"/>
    </row>
    <row r="1118" spans="8:20" x14ac:dyDescent="0.35">
      <c r="H1118" s="7"/>
      <c r="I1118" s="7"/>
      <c r="J1118" s="7"/>
      <c r="L1118" s="27"/>
      <c r="M1118" s="17"/>
      <c r="R1118" s="3"/>
      <c r="T1118" s="1"/>
    </row>
    <row r="1119" spans="8:20" x14ac:dyDescent="0.35">
      <c r="H1119" s="7"/>
      <c r="I1119" s="7"/>
      <c r="J1119" s="7"/>
      <c r="L1119" s="27"/>
      <c r="M1119" s="17"/>
      <c r="R1119" s="3"/>
      <c r="T1119" s="1"/>
    </row>
    <row r="1120" spans="8:20" x14ac:dyDescent="0.35">
      <c r="H1120" s="7"/>
      <c r="I1120" s="7"/>
      <c r="J1120" s="7"/>
      <c r="L1120" s="27"/>
      <c r="M1120" s="17"/>
      <c r="R1120" s="3"/>
      <c r="T1120" s="1"/>
    </row>
    <row r="1121" spans="8:20" x14ac:dyDescent="0.35">
      <c r="H1121" s="7"/>
      <c r="I1121" s="7"/>
      <c r="J1121" s="7"/>
      <c r="L1121" s="27"/>
      <c r="M1121" s="17"/>
      <c r="R1121" s="3"/>
      <c r="T1121" s="1"/>
    </row>
    <row r="1122" spans="8:20" x14ac:dyDescent="0.35">
      <c r="H1122" s="7"/>
      <c r="I1122" s="7"/>
      <c r="J1122" s="7"/>
      <c r="L1122" s="27"/>
      <c r="M1122" s="17"/>
      <c r="R1122" s="3"/>
      <c r="T1122" s="1"/>
    </row>
    <row r="1123" spans="8:20" x14ac:dyDescent="0.35">
      <c r="H1123" s="7"/>
      <c r="I1123" s="7"/>
      <c r="J1123" s="7"/>
      <c r="L1123" s="27"/>
      <c r="M1123" s="17"/>
      <c r="R1123" s="3"/>
      <c r="T1123" s="1"/>
    </row>
    <row r="1124" spans="8:20" x14ac:dyDescent="0.35">
      <c r="H1124" s="7"/>
      <c r="I1124" s="7"/>
      <c r="J1124" s="7"/>
      <c r="L1124" s="27"/>
      <c r="M1124" s="17"/>
      <c r="R1124" s="3"/>
      <c r="T1124" s="1"/>
    </row>
    <row r="1125" spans="8:20" x14ac:dyDescent="0.35">
      <c r="H1125" s="7"/>
      <c r="I1125" s="7"/>
      <c r="J1125" s="7"/>
      <c r="L1125" s="27"/>
      <c r="M1125" s="17"/>
      <c r="R1125" s="3"/>
      <c r="T1125" s="1"/>
    </row>
    <row r="1126" spans="8:20" x14ac:dyDescent="0.35">
      <c r="H1126" s="7"/>
      <c r="I1126" s="7"/>
      <c r="J1126" s="7"/>
      <c r="L1126" s="27"/>
      <c r="M1126" s="17"/>
      <c r="R1126" s="3"/>
      <c r="T1126" s="1"/>
    </row>
    <row r="1127" spans="8:20" x14ac:dyDescent="0.35">
      <c r="H1127" s="7"/>
      <c r="I1127" s="7"/>
      <c r="J1127" s="7"/>
      <c r="L1127" s="27"/>
      <c r="M1127" s="17"/>
      <c r="R1127" s="3"/>
      <c r="T1127" s="1"/>
    </row>
    <row r="1128" spans="8:20" x14ac:dyDescent="0.35">
      <c r="H1128" s="7"/>
      <c r="I1128" s="7"/>
      <c r="J1128" s="7"/>
      <c r="L1128" s="27"/>
      <c r="M1128" s="17"/>
      <c r="R1128" s="3"/>
      <c r="T1128" s="1"/>
    </row>
    <row r="1129" spans="8:20" x14ac:dyDescent="0.35">
      <c r="H1129" s="7"/>
      <c r="I1129" s="7"/>
      <c r="J1129" s="7"/>
      <c r="L1129" s="27"/>
      <c r="M1129" s="17"/>
      <c r="R1129" s="3"/>
      <c r="T1129" s="1"/>
    </row>
    <row r="1130" spans="8:20" x14ac:dyDescent="0.35">
      <c r="H1130" s="7"/>
      <c r="I1130" s="7"/>
      <c r="J1130" s="7"/>
      <c r="L1130" s="27"/>
      <c r="M1130" s="17"/>
      <c r="R1130" s="3"/>
      <c r="T1130" s="1"/>
    </row>
    <row r="1131" spans="8:20" x14ac:dyDescent="0.35">
      <c r="H1131" s="7"/>
      <c r="I1131" s="7"/>
      <c r="J1131" s="7"/>
      <c r="L1131" s="27"/>
      <c r="M1131" s="17"/>
      <c r="R1131" s="3"/>
      <c r="T1131" s="1"/>
    </row>
    <row r="1132" spans="8:20" x14ac:dyDescent="0.35">
      <c r="H1132" s="7"/>
      <c r="I1132" s="7"/>
      <c r="J1132" s="7"/>
      <c r="L1132" s="27"/>
      <c r="M1132" s="17"/>
      <c r="R1132" s="3"/>
      <c r="T1132" s="1"/>
    </row>
    <row r="1133" spans="8:20" x14ac:dyDescent="0.35">
      <c r="H1133" s="7"/>
      <c r="I1133" s="7"/>
      <c r="J1133" s="7"/>
      <c r="L1133" s="27"/>
      <c r="M1133" s="17"/>
      <c r="R1133" s="3"/>
      <c r="T1133" s="1"/>
    </row>
    <row r="1134" spans="8:20" x14ac:dyDescent="0.35">
      <c r="H1134" s="7"/>
      <c r="I1134" s="7"/>
      <c r="J1134" s="7"/>
      <c r="L1134" s="27"/>
      <c r="M1134" s="17"/>
      <c r="R1134" s="3"/>
      <c r="T1134" s="1"/>
    </row>
    <row r="1135" spans="8:20" x14ac:dyDescent="0.35">
      <c r="H1135" s="7"/>
      <c r="I1135" s="7"/>
      <c r="J1135" s="7"/>
      <c r="L1135" s="27"/>
      <c r="M1135" s="17"/>
      <c r="R1135" s="3"/>
      <c r="T1135" s="1"/>
    </row>
    <row r="1136" spans="8:20" x14ac:dyDescent="0.35">
      <c r="H1136" s="7"/>
      <c r="I1136" s="7"/>
      <c r="J1136" s="7"/>
      <c r="L1136" s="27"/>
      <c r="M1136" s="17"/>
      <c r="R1136" s="3"/>
      <c r="T1136" s="1"/>
    </row>
    <row r="1137" spans="8:20" x14ac:dyDescent="0.35">
      <c r="H1137" s="7"/>
      <c r="I1137" s="7"/>
      <c r="J1137" s="7"/>
      <c r="L1137" s="27"/>
      <c r="M1137" s="17"/>
      <c r="R1137" s="3"/>
      <c r="T1137" s="1"/>
    </row>
    <row r="1138" spans="8:20" x14ac:dyDescent="0.35">
      <c r="H1138" s="7"/>
      <c r="I1138" s="7"/>
      <c r="J1138" s="7"/>
      <c r="L1138" s="27"/>
      <c r="M1138" s="17"/>
      <c r="R1138" s="3"/>
      <c r="T1138" s="1"/>
    </row>
    <row r="1139" spans="8:20" x14ac:dyDescent="0.35">
      <c r="H1139" s="7"/>
      <c r="I1139" s="7"/>
      <c r="J1139" s="7"/>
      <c r="L1139" s="27"/>
      <c r="M1139" s="17"/>
      <c r="R1139" s="3"/>
      <c r="T1139" s="1"/>
    </row>
    <row r="1140" spans="8:20" x14ac:dyDescent="0.35">
      <c r="H1140" s="7"/>
      <c r="I1140" s="7"/>
      <c r="J1140" s="7"/>
      <c r="L1140" s="27"/>
      <c r="M1140" s="17"/>
      <c r="R1140" s="3"/>
      <c r="T1140" s="1"/>
    </row>
    <row r="1141" spans="8:20" x14ac:dyDescent="0.35">
      <c r="H1141" s="7"/>
      <c r="I1141" s="7"/>
      <c r="J1141" s="7"/>
      <c r="L1141" s="27"/>
      <c r="M1141" s="17"/>
      <c r="R1141" s="3"/>
      <c r="T1141" s="1"/>
    </row>
    <row r="1142" spans="8:20" x14ac:dyDescent="0.35">
      <c r="H1142" s="7"/>
      <c r="I1142" s="7"/>
      <c r="J1142" s="7"/>
      <c r="L1142" s="27"/>
      <c r="M1142" s="17"/>
      <c r="R1142" s="3"/>
      <c r="T1142" s="1"/>
    </row>
    <row r="1143" spans="8:20" x14ac:dyDescent="0.35">
      <c r="H1143" s="7"/>
      <c r="I1143" s="7"/>
      <c r="J1143" s="7"/>
      <c r="L1143" s="27"/>
      <c r="M1143" s="17"/>
      <c r="R1143" s="3"/>
      <c r="T1143" s="1"/>
    </row>
    <row r="1144" spans="8:20" x14ac:dyDescent="0.35">
      <c r="H1144" s="7"/>
      <c r="I1144" s="7"/>
      <c r="J1144" s="7"/>
      <c r="L1144" s="27"/>
      <c r="M1144" s="17"/>
      <c r="R1144" s="3"/>
      <c r="T1144" s="1"/>
    </row>
    <row r="1145" spans="8:20" x14ac:dyDescent="0.35">
      <c r="H1145" s="7"/>
      <c r="I1145" s="7"/>
      <c r="J1145" s="7"/>
      <c r="L1145" s="27"/>
      <c r="M1145" s="17"/>
      <c r="R1145" s="3"/>
      <c r="T1145" s="1"/>
    </row>
    <row r="1146" spans="8:20" x14ac:dyDescent="0.35">
      <c r="H1146" s="7"/>
      <c r="I1146" s="7"/>
      <c r="J1146" s="7"/>
      <c r="L1146" s="27"/>
      <c r="M1146" s="17"/>
      <c r="R1146" s="3"/>
      <c r="T1146" s="1"/>
    </row>
    <row r="1147" spans="8:20" x14ac:dyDescent="0.35">
      <c r="H1147" s="7"/>
      <c r="I1147" s="7"/>
      <c r="J1147" s="7"/>
      <c r="L1147" s="27"/>
      <c r="M1147" s="17"/>
      <c r="R1147" s="3"/>
      <c r="T1147" s="1"/>
    </row>
    <row r="1148" spans="8:20" x14ac:dyDescent="0.35">
      <c r="H1148" s="7"/>
      <c r="I1148" s="7"/>
      <c r="J1148" s="7"/>
      <c r="L1148" s="27"/>
      <c r="M1148" s="17"/>
      <c r="R1148" s="3"/>
      <c r="T1148" s="1"/>
    </row>
    <row r="1149" spans="8:20" x14ac:dyDescent="0.35">
      <c r="H1149" s="7"/>
      <c r="I1149" s="7"/>
      <c r="J1149" s="7"/>
      <c r="L1149" s="27"/>
      <c r="M1149" s="17"/>
      <c r="R1149" s="3"/>
      <c r="T1149" s="1"/>
    </row>
    <row r="1150" spans="8:20" x14ac:dyDescent="0.35">
      <c r="H1150" s="7"/>
      <c r="I1150" s="7"/>
      <c r="J1150" s="7"/>
      <c r="L1150" s="27"/>
      <c r="M1150" s="17"/>
      <c r="R1150" s="3"/>
      <c r="T1150" s="1"/>
    </row>
    <row r="1151" spans="8:20" x14ac:dyDescent="0.35">
      <c r="H1151" s="7"/>
      <c r="I1151" s="7"/>
      <c r="J1151" s="7"/>
      <c r="L1151" s="27"/>
      <c r="M1151" s="17"/>
      <c r="R1151" s="3"/>
      <c r="T1151" s="1"/>
    </row>
    <row r="1152" spans="8:20" x14ac:dyDescent="0.35">
      <c r="H1152" s="7"/>
      <c r="I1152" s="7"/>
      <c r="J1152" s="7"/>
      <c r="L1152" s="27"/>
      <c r="M1152" s="17"/>
      <c r="R1152" s="3"/>
      <c r="T1152" s="1"/>
    </row>
    <row r="1153" spans="8:20" x14ac:dyDescent="0.35">
      <c r="H1153" s="7"/>
      <c r="I1153" s="7"/>
      <c r="J1153" s="7"/>
      <c r="L1153" s="27"/>
      <c r="M1153" s="17"/>
      <c r="R1153" s="3"/>
      <c r="T1153" s="1"/>
    </row>
    <row r="1154" spans="8:20" x14ac:dyDescent="0.35">
      <c r="H1154" s="7"/>
      <c r="I1154" s="7"/>
      <c r="J1154" s="7"/>
      <c r="L1154" s="27"/>
      <c r="M1154" s="17"/>
      <c r="R1154" s="3"/>
      <c r="T1154" s="1"/>
    </row>
    <row r="1155" spans="8:20" x14ac:dyDescent="0.35">
      <c r="H1155" s="7"/>
      <c r="I1155" s="7"/>
      <c r="J1155" s="7"/>
      <c r="L1155" s="27"/>
      <c r="M1155" s="17"/>
      <c r="R1155" s="3"/>
      <c r="T1155" s="1"/>
    </row>
    <row r="1156" spans="8:20" x14ac:dyDescent="0.35">
      <c r="H1156" s="7"/>
      <c r="I1156" s="7"/>
      <c r="J1156" s="7"/>
      <c r="L1156" s="27"/>
      <c r="M1156" s="17"/>
      <c r="R1156" s="3"/>
      <c r="T1156" s="1"/>
    </row>
    <row r="1157" spans="8:20" x14ac:dyDescent="0.35">
      <c r="H1157" s="7"/>
      <c r="I1157" s="7"/>
      <c r="J1157" s="7"/>
      <c r="L1157" s="27"/>
      <c r="M1157" s="17"/>
      <c r="R1157" s="3"/>
      <c r="T1157" s="1"/>
    </row>
    <row r="1158" spans="8:20" x14ac:dyDescent="0.35">
      <c r="H1158" s="7"/>
      <c r="I1158" s="7"/>
      <c r="J1158" s="7"/>
      <c r="L1158" s="27"/>
      <c r="M1158" s="17"/>
      <c r="R1158" s="3"/>
      <c r="T1158" s="1"/>
    </row>
    <row r="1159" spans="8:20" x14ac:dyDescent="0.35">
      <c r="H1159" s="7"/>
      <c r="I1159" s="7"/>
      <c r="J1159" s="7"/>
      <c r="L1159" s="27"/>
      <c r="M1159" s="17"/>
      <c r="R1159" s="3"/>
      <c r="T1159" s="1"/>
    </row>
    <row r="1160" spans="8:20" x14ac:dyDescent="0.35">
      <c r="H1160" s="7"/>
      <c r="I1160" s="7"/>
      <c r="J1160" s="7"/>
      <c r="L1160" s="27"/>
      <c r="M1160" s="17"/>
      <c r="R1160" s="3"/>
      <c r="T1160" s="1"/>
    </row>
    <row r="1161" spans="8:20" x14ac:dyDescent="0.35">
      <c r="H1161" s="7"/>
      <c r="I1161" s="7"/>
      <c r="J1161" s="7"/>
      <c r="L1161" s="27"/>
      <c r="M1161" s="17"/>
      <c r="R1161" s="3"/>
      <c r="T1161" s="1"/>
    </row>
    <row r="1162" spans="8:20" x14ac:dyDescent="0.35">
      <c r="H1162" s="7"/>
      <c r="I1162" s="7"/>
      <c r="J1162" s="7"/>
      <c r="L1162" s="27"/>
      <c r="M1162" s="17"/>
      <c r="R1162" s="3"/>
      <c r="T1162" s="1"/>
    </row>
    <row r="1163" spans="8:20" x14ac:dyDescent="0.35">
      <c r="H1163" s="7"/>
      <c r="I1163" s="7"/>
      <c r="J1163" s="7"/>
      <c r="L1163" s="27"/>
      <c r="M1163" s="17"/>
      <c r="R1163" s="3"/>
      <c r="T1163" s="1"/>
    </row>
    <row r="1164" spans="8:20" x14ac:dyDescent="0.35">
      <c r="H1164" s="7"/>
      <c r="I1164" s="7"/>
      <c r="J1164" s="7"/>
      <c r="L1164" s="27"/>
      <c r="M1164" s="17"/>
      <c r="R1164" s="3"/>
      <c r="T1164" s="1"/>
    </row>
    <row r="1165" spans="8:20" x14ac:dyDescent="0.35">
      <c r="H1165" s="7"/>
      <c r="I1165" s="7"/>
      <c r="J1165" s="7"/>
      <c r="L1165" s="27"/>
      <c r="M1165" s="17"/>
      <c r="R1165" s="3"/>
      <c r="T1165" s="1"/>
    </row>
    <row r="1166" spans="8:20" x14ac:dyDescent="0.35">
      <c r="H1166" s="7"/>
      <c r="I1166" s="7"/>
      <c r="J1166" s="7"/>
      <c r="L1166" s="27"/>
      <c r="M1166" s="17"/>
      <c r="R1166" s="3"/>
      <c r="T1166" s="1"/>
    </row>
    <row r="1167" spans="8:20" x14ac:dyDescent="0.35">
      <c r="H1167" s="7"/>
      <c r="I1167" s="7"/>
      <c r="J1167" s="7"/>
      <c r="L1167" s="27"/>
      <c r="M1167" s="17"/>
      <c r="R1167" s="3"/>
      <c r="T1167" s="1"/>
    </row>
    <row r="1168" spans="8:20" x14ac:dyDescent="0.35">
      <c r="H1168" s="7"/>
      <c r="I1168" s="7"/>
      <c r="J1168" s="7"/>
      <c r="L1168" s="27"/>
      <c r="M1168" s="17"/>
      <c r="R1168" s="3"/>
      <c r="T1168" s="1"/>
    </row>
    <row r="1169" spans="8:20" x14ac:dyDescent="0.35">
      <c r="H1169" s="7"/>
      <c r="I1169" s="7"/>
      <c r="J1169" s="7"/>
      <c r="L1169" s="27"/>
      <c r="M1169" s="17"/>
      <c r="R1169" s="3"/>
      <c r="T1169" s="1"/>
    </row>
    <row r="1170" spans="8:20" x14ac:dyDescent="0.35">
      <c r="H1170" s="7"/>
      <c r="I1170" s="7"/>
      <c r="J1170" s="7"/>
      <c r="L1170" s="27"/>
      <c r="M1170" s="17"/>
      <c r="R1170" s="3"/>
      <c r="T1170" s="1"/>
    </row>
    <row r="1171" spans="8:20" x14ac:dyDescent="0.35">
      <c r="H1171" s="7"/>
      <c r="I1171" s="7"/>
      <c r="J1171" s="7"/>
      <c r="L1171" s="27"/>
      <c r="M1171" s="17"/>
      <c r="R1171" s="3"/>
      <c r="T1171" s="1"/>
    </row>
    <row r="1172" spans="8:20" x14ac:dyDescent="0.35">
      <c r="H1172" s="7"/>
      <c r="I1172" s="7"/>
      <c r="J1172" s="7"/>
      <c r="L1172" s="27"/>
      <c r="M1172" s="17"/>
      <c r="R1172" s="3"/>
      <c r="T1172" s="1"/>
    </row>
    <row r="1173" spans="8:20" x14ac:dyDescent="0.35">
      <c r="H1173" s="7"/>
      <c r="I1173" s="7"/>
      <c r="J1173" s="7"/>
      <c r="L1173" s="27"/>
      <c r="M1173" s="17"/>
      <c r="R1173" s="3"/>
      <c r="T1173" s="1"/>
    </row>
    <row r="1174" spans="8:20" x14ac:dyDescent="0.35">
      <c r="H1174" s="7"/>
      <c r="I1174" s="7"/>
      <c r="J1174" s="7"/>
      <c r="L1174" s="27"/>
      <c r="M1174" s="17"/>
      <c r="R1174" s="3"/>
      <c r="T1174" s="1"/>
    </row>
    <row r="1175" spans="8:20" x14ac:dyDescent="0.35">
      <c r="H1175" s="7"/>
      <c r="I1175" s="7"/>
      <c r="J1175" s="7"/>
      <c r="L1175" s="27"/>
      <c r="M1175" s="17"/>
      <c r="R1175" s="3"/>
      <c r="T1175" s="1"/>
    </row>
    <row r="1176" spans="8:20" x14ac:dyDescent="0.35">
      <c r="H1176" s="7"/>
      <c r="I1176" s="7"/>
      <c r="J1176" s="7"/>
      <c r="L1176" s="27"/>
      <c r="M1176" s="17"/>
      <c r="R1176" s="3"/>
      <c r="T1176" s="1"/>
    </row>
    <row r="1177" spans="8:20" x14ac:dyDescent="0.35">
      <c r="H1177" s="7"/>
      <c r="I1177" s="7"/>
      <c r="J1177" s="7"/>
      <c r="L1177" s="27"/>
      <c r="M1177" s="17"/>
      <c r="R1177" s="3"/>
      <c r="T1177" s="1"/>
    </row>
    <row r="1178" spans="8:20" x14ac:dyDescent="0.35">
      <c r="H1178" s="7"/>
      <c r="I1178" s="7"/>
      <c r="J1178" s="7"/>
      <c r="L1178" s="27"/>
      <c r="M1178" s="17"/>
      <c r="R1178" s="3"/>
      <c r="T1178" s="1"/>
    </row>
    <row r="1179" spans="8:20" x14ac:dyDescent="0.35">
      <c r="H1179" s="7"/>
      <c r="I1179" s="7"/>
      <c r="J1179" s="7"/>
      <c r="L1179" s="27"/>
      <c r="M1179" s="17"/>
      <c r="R1179" s="3"/>
      <c r="T1179" s="1"/>
    </row>
    <row r="1180" spans="8:20" x14ac:dyDescent="0.35">
      <c r="H1180" s="7"/>
      <c r="I1180" s="7"/>
      <c r="J1180" s="7"/>
      <c r="L1180" s="27"/>
      <c r="M1180" s="17"/>
      <c r="R1180" s="3"/>
      <c r="T1180" s="1"/>
    </row>
    <row r="1181" spans="8:20" x14ac:dyDescent="0.35">
      <c r="H1181" s="7"/>
      <c r="I1181" s="7"/>
      <c r="J1181" s="7"/>
      <c r="L1181" s="27"/>
      <c r="M1181" s="17"/>
      <c r="R1181" s="3"/>
      <c r="T1181" s="1"/>
    </row>
    <row r="1182" spans="8:20" x14ac:dyDescent="0.35">
      <c r="H1182" s="7"/>
      <c r="I1182" s="7"/>
      <c r="J1182" s="7"/>
      <c r="L1182" s="27"/>
      <c r="M1182" s="17"/>
      <c r="R1182" s="3"/>
      <c r="T1182" s="1"/>
    </row>
    <row r="1183" spans="8:20" x14ac:dyDescent="0.35">
      <c r="H1183" s="7"/>
      <c r="I1183" s="7"/>
      <c r="J1183" s="7"/>
      <c r="L1183" s="27"/>
      <c r="M1183" s="17"/>
      <c r="R1183" s="3"/>
      <c r="T1183" s="1"/>
    </row>
    <row r="1184" spans="8:20" x14ac:dyDescent="0.35">
      <c r="H1184" s="7"/>
      <c r="I1184" s="7"/>
      <c r="J1184" s="7"/>
      <c r="L1184" s="27"/>
      <c r="M1184" s="17"/>
      <c r="R1184" s="3"/>
      <c r="T1184" s="1"/>
    </row>
    <row r="1185" spans="8:20" x14ac:dyDescent="0.35">
      <c r="H1185" s="7"/>
      <c r="I1185" s="7"/>
      <c r="J1185" s="7"/>
      <c r="L1185" s="27"/>
      <c r="M1185" s="17"/>
      <c r="R1185" s="3"/>
      <c r="T1185" s="1"/>
    </row>
    <row r="1186" spans="8:20" x14ac:dyDescent="0.35">
      <c r="H1186" s="7"/>
      <c r="I1186" s="7"/>
      <c r="J1186" s="7"/>
      <c r="L1186" s="27"/>
      <c r="M1186" s="17"/>
      <c r="R1186" s="3"/>
      <c r="T1186" s="1"/>
    </row>
    <row r="1187" spans="8:20" x14ac:dyDescent="0.35">
      <c r="H1187" s="7"/>
      <c r="I1187" s="7"/>
      <c r="J1187" s="7"/>
      <c r="L1187" s="27"/>
      <c r="M1187" s="17"/>
      <c r="R1187" s="3"/>
      <c r="T1187" s="1"/>
    </row>
    <row r="1188" spans="8:20" x14ac:dyDescent="0.35">
      <c r="H1188" s="7"/>
      <c r="I1188" s="7"/>
      <c r="J1188" s="7"/>
      <c r="L1188" s="27"/>
      <c r="M1188" s="17"/>
      <c r="R1188" s="3"/>
      <c r="T1188" s="1"/>
    </row>
    <row r="1189" spans="8:20" x14ac:dyDescent="0.35">
      <c r="H1189" s="7"/>
      <c r="I1189" s="7"/>
      <c r="J1189" s="7"/>
      <c r="L1189" s="27"/>
      <c r="M1189" s="17"/>
      <c r="R1189" s="3"/>
      <c r="T1189" s="1"/>
    </row>
    <row r="1190" spans="8:20" x14ac:dyDescent="0.35">
      <c r="H1190" s="7"/>
      <c r="I1190" s="7"/>
      <c r="J1190" s="7"/>
      <c r="L1190" s="27"/>
      <c r="M1190" s="17"/>
      <c r="R1190" s="3"/>
      <c r="T1190" s="1"/>
    </row>
    <row r="1191" spans="8:20" x14ac:dyDescent="0.35">
      <c r="H1191" s="7"/>
      <c r="I1191" s="7"/>
      <c r="J1191" s="7"/>
      <c r="L1191" s="27"/>
      <c r="M1191" s="17"/>
      <c r="R1191" s="3"/>
      <c r="T1191" s="1"/>
    </row>
    <row r="1192" spans="8:20" x14ac:dyDescent="0.35">
      <c r="H1192" s="7"/>
      <c r="I1192" s="7"/>
      <c r="J1192" s="7"/>
      <c r="L1192" s="27"/>
      <c r="M1192" s="17"/>
      <c r="R1192" s="3"/>
      <c r="T1192" s="1"/>
    </row>
    <row r="1193" spans="8:20" x14ac:dyDescent="0.35">
      <c r="H1193" s="7"/>
      <c r="I1193" s="7"/>
      <c r="J1193" s="7"/>
      <c r="L1193" s="27"/>
      <c r="M1193" s="17"/>
      <c r="R1193" s="3"/>
      <c r="T1193" s="1"/>
    </row>
    <row r="1194" spans="8:20" x14ac:dyDescent="0.35">
      <c r="H1194" s="7"/>
      <c r="I1194" s="7"/>
      <c r="J1194" s="7"/>
      <c r="L1194" s="27"/>
      <c r="M1194" s="17"/>
      <c r="R1194" s="3"/>
      <c r="T1194" s="1"/>
    </row>
    <row r="1195" spans="8:20" x14ac:dyDescent="0.35">
      <c r="H1195" s="7"/>
      <c r="I1195" s="7"/>
      <c r="J1195" s="7"/>
      <c r="L1195" s="27"/>
      <c r="M1195" s="17"/>
      <c r="R1195" s="3"/>
      <c r="T1195" s="1"/>
    </row>
    <row r="1196" spans="8:20" x14ac:dyDescent="0.35">
      <c r="H1196" s="7"/>
      <c r="I1196" s="7"/>
      <c r="J1196" s="7"/>
      <c r="L1196" s="27"/>
      <c r="M1196" s="17"/>
      <c r="R1196" s="3"/>
      <c r="T1196" s="1"/>
    </row>
    <row r="1197" spans="8:20" x14ac:dyDescent="0.35">
      <c r="H1197" s="7"/>
      <c r="I1197" s="7"/>
      <c r="J1197" s="7"/>
      <c r="L1197" s="27"/>
      <c r="M1197" s="17"/>
      <c r="R1197" s="3"/>
      <c r="T1197" s="1"/>
    </row>
    <row r="1198" spans="8:20" x14ac:dyDescent="0.35">
      <c r="H1198" s="7"/>
      <c r="I1198" s="7"/>
      <c r="J1198" s="7"/>
      <c r="L1198" s="27"/>
      <c r="M1198" s="17"/>
      <c r="R1198" s="3"/>
      <c r="T1198" s="1"/>
    </row>
    <row r="1199" spans="8:20" x14ac:dyDescent="0.35">
      <c r="H1199" s="7"/>
      <c r="I1199" s="7"/>
      <c r="J1199" s="7"/>
      <c r="L1199" s="27"/>
      <c r="M1199" s="17"/>
      <c r="R1199" s="3"/>
      <c r="T1199" s="1"/>
    </row>
    <row r="1200" spans="8:20" x14ac:dyDescent="0.35">
      <c r="H1200" s="7"/>
      <c r="I1200" s="7"/>
      <c r="J1200" s="7"/>
      <c r="L1200" s="27"/>
      <c r="M1200" s="17"/>
      <c r="R1200" s="3"/>
      <c r="T1200" s="1"/>
    </row>
    <row r="1201" spans="8:20" x14ac:dyDescent="0.35">
      <c r="H1201" s="7"/>
      <c r="I1201" s="7"/>
      <c r="J1201" s="7"/>
      <c r="L1201" s="27"/>
      <c r="M1201" s="17"/>
      <c r="R1201" s="3"/>
      <c r="T1201" s="1"/>
    </row>
    <row r="1202" spans="8:20" x14ac:dyDescent="0.35">
      <c r="H1202" s="7"/>
      <c r="I1202" s="7"/>
      <c r="J1202" s="7"/>
      <c r="L1202" s="27"/>
      <c r="M1202" s="17"/>
      <c r="R1202" s="3"/>
      <c r="T1202" s="1"/>
    </row>
    <row r="1203" spans="8:20" x14ac:dyDescent="0.35">
      <c r="H1203" s="7"/>
      <c r="I1203" s="7"/>
      <c r="J1203" s="7"/>
      <c r="L1203" s="27"/>
      <c r="M1203" s="17"/>
      <c r="R1203" s="3"/>
      <c r="T1203" s="1"/>
    </row>
    <row r="1204" spans="8:20" x14ac:dyDescent="0.35">
      <c r="H1204" s="7"/>
      <c r="I1204" s="7"/>
      <c r="J1204" s="7"/>
      <c r="L1204" s="27"/>
      <c r="M1204" s="17"/>
      <c r="R1204" s="3"/>
      <c r="T1204" s="1"/>
    </row>
    <row r="1205" spans="8:20" x14ac:dyDescent="0.35">
      <c r="H1205" s="7"/>
      <c r="I1205" s="7"/>
      <c r="J1205" s="7"/>
      <c r="L1205" s="27"/>
      <c r="M1205" s="17"/>
      <c r="R1205" s="3"/>
      <c r="T1205" s="1"/>
    </row>
    <row r="1206" spans="8:20" x14ac:dyDescent="0.35">
      <c r="H1206" s="7"/>
      <c r="I1206" s="7"/>
      <c r="J1206" s="7"/>
      <c r="L1206" s="27"/>
      <c r="M1206" s="17"/>
      <c r="R1206" s="3"/>
      <c r="T1206" s="1"/>
    </row>
    <row r="1207" spans="8:20" x14ac:dyDescent="0.35">
      <c r="H1207" s="7"/>
      <c r="I1207" s="7"/>
      <c r="J1207" s="7"/>
      <c r="L1207" s="27"/>
      <c r="M1207" s="17"/>
      <c r="R1207" s="3"/>
      <c r="T1207" s="1"/>
    </row>
    <row r="1208" spans="8:20" x14ac:dyDescent="0.35">
      <c r="H1208" s="7"/>
      <c r="I1208" s="7"/>
      <c r="J1208" s="7"/>
      <c r="L1208" s="27"/>
      <c r="M1208" s="17"/>
      <c r="R1208" s="3"/>
      <c r="T1208" s="1"/>
    </row>
    <row r="1209" spans="8:20" x14ac:dyDescent="0.35">
      <c r="H1209" s="7"/>
      <c r="I1209" s="7"/>
      <c r="J1209" s="7"/>
      <c r="L1209" s="27"/>
      <c r="M1209" s="17"/>
      <c r="R1209" s="3"/>
      <c r="T1209" s="1"/>
    </row>
    <row r="1210" spans="8:20" x14ac:dyDescent="0.35">
      <c r="H1210" s="7"/>
      <c r="I1210" s="7"/>
      <c r="J1210" s="7"/>
      <c r="L1210" s="27"/>
      <c r="M1210" s="17"/>
      <c r="R1210" s="3"/>
      <c r="T1210" s="1"/>
    </row>
    <row r="1211" spans="8:20" x14ac:dyDescent="0.35">
      <c r="H1211" s="7"/>
      <c r="I1211" s="7"/>
      <c r="J1211" s="7"/>
      <c r="L1211" s="27"/>
      <c r="M1211" s="17"/>
      <c r="R1211" s="3"/>
      <c r="T1211" s="1"/>
    </row>
    <row r="1212" spans="8:20" x14ac:dyDescent="0.35">
      <c r="H1212" s="7"/>
      <c r="I1212" s="7"/>
      <c r="J1212" s="7"/>
      <c r="L1212" s="27"/>
      <c r="M1212" s="17"/>
      <c r="R1212" s="3"/>
      <c r="T1212" s="1"/>
    </row>
    <row r="1213" spans="8:20" x14ac:dyDescent="0.35">
      <c r="H1213" s="7"/>
      <c r="I1213" s="7"/>
      <c r="J1213" s="7"/>
      <c r="L1213" s="27"/>
      <c r="M1213" s="17"/>
      <c r="R1213" s="3"/>
      <c r="T1213" s="1"/>
    </row>
    <row r="1214" spans="8:20" x14ac:dyDescent="0.35">
      <c r="H1214" s="7"/>
      <c r="I1214" s="7"/>
      <c r="J1214" s="7"/>
      <c r="L1214" s="27"/>
      <c r="M1214" s="17"/>
      <c r="R1214" s="3"/>
      <c r="T1214" s="1"/>
    </row>
    <row r="1215" spans="8:20" x14ac:dyDescent="0.35">
      <c r="H1215" s="7"/>
      <c r="I1215" s="7"/>
      <c r="J1215" s="7"/>
      <c r="L1215" s="27"/>
      <c r="M1215" s="17"/>
      <c r="R1215" s="3"/>
      <c r="T1215" s="1"/>
    </row>
    <row r="1216" spans="8:20" x14ac:dyDescent="0.35">
      <c r="H1216" s="7"/>
      <c r="I1216" s="7"/>
      <c r="J1216" s="7"/>
      <c r="L1216" s="27"/>
      <c r="M1216" s="17"/>
      <c r="R1216" s="3"/>
      <c r="T1216" s="1"/>
    </row>
    <row r="1217" spans="8:20" x14ac:dyDescent="0.35">
      <c r="H1217" s="7"/>
      <c r="I1217" s="7"/>
      <c r="J1217" s="7"/>
      <c r="L1217" s="27"/>
      <c r="M1217" s="17"/>
      <c r="R1217" s="3"/>
      <c r="T1217" s="1"/>
    </row>
    <row r="1218" spans="8:20" x14ac:dyDescent="0.35">
      <c r="H1218" s="7"/>
      <c r="I1218" s="7"/>
      <c r="J1218" s="7"/>
      <c r="L1218" s="27"/>
      <c r="M1218" s="17"/>
      <c r="R1218" s="3"/>
      <c r="T1218" s="1"/>
    </row>
    <row r="1219" spans="8:20" x14ac:dyDescent="0.35">
      <c r="H1219" s="7"/>
      <c r="I1219" s="7"/>
      <c r="J1219" s="7"/>
      <c r="L1219" s="27"/>
      <c r="M1219" s="17"/>
      <c r="R1219" s="3"/>
      <c r="T1219" s="1"/>
    </row>
    <row r="1220" spans="8:20" x14ac:dyDescent="0.35">
      <c r="H1220" s="7"/>
      <c r="I1220" s="7"/>
      <c r="J1220" s="7"/>
      <c r="L1220" s="27"/>
      <c r="M1220" s="17"/>
      <c r="R1220" s="3"/>
      <c r="T1220" s="1"/>
    </row>
    <row r="1221" spans="8:20" x14ac:dyDescent="0.35">
      <c r="H1221" s="7"/>
      <c r="I1221" s="7"/>
      <c r="J1221" s="7"/>
      <c r="L1221" s="27"/>
      <c r="M1221" s="17"/>
      <c r="R1221" s="3"/>
      <c r="T1221" s="1"/>
    </row>
    <row r="1222" spans="8:20" x14ac:dyDescent="0.35">
      <c r="H1222" s="7"/>
      <c r="I1222" s="7"/>
      <c r="J1222" s="7"/>
      <c r="L1222" s="27"/>
      <c r="M1222" s="17"/>
      <c r="R1222" s="3"/>
      <c r="T1222" s="1"/>
    </row>
    <row r="1223" spans="8:20" x14ac:dyDescent="0.35">
      <c r="H1223" s="7"/>
      <c r="I1223" s="7"/>
      <c r="J1223" s="7"/>
      <c r="L1223" s="27"/>
      <c r="M1223" s="17"/>
      <c r="R1223" s="3"/>
      <c r="T1223" s="1"/>
    </row>
    <row r="1224" spans="8:20" x14ac:dyDescent="0.35">
      <c r="H1224" s="7"/>
      <c r="I1224" s="7"/>
      <c r="J1224" s="7"/>
      <c r="L1224" s="27"/>
      <c r="M1224" s="17"/>
      <c r="R1224" s="3"/>
      <c r="T1224" s="1"/>
    </row>
    <row r="1225" spans="8:20" x14ac:dyDescent="0.35">
      <c r="H1225" s="7"/>
      <c r="I1225" s="7"/>
      <c r="J1225" s="7"/>
      <c r="L1225" s="27"/>
      <c r="M1225" s="17"/>
      <c r="R1225" s="3"/>
      <c r="T1225" s="1"/>
    </row>
    <row r="1226" spans="8:20" x14ac:dyDescent="0.35">
      <c r="H1226" s="7"/>
      <c r="I1226" s="7"/>
      <c r="J1226" s="7"/>
      <c r="L1226" s="27"/>
      <c r="M1226" s="17"/>
      <c r="R1226" s="3"/>
      <c r="T1226" s="1"/>
    </row>
    <row r="1227" spans="8:20" x14ac:dyDescent="0.35">
      <c r="H1227" s="7"/>
      <c r="I1227" s="7"/>
      <c r="J1227" s="7"/>
      <c r="L1227" s="27"/>
      <c r="M1227" s="17"/>
      <c r="R1227" s="3"/>
      <c r="T1227" s="1"/>
    </row>
    <row r="1228" spans="8:20" x14ac:dyDescent="0.35">
      <c r="H1228" s="7"/>
      <c r="I1228" s="7"/>
      <c r="J1228" s="7"/>
      <c r="L1228" s="27"/>
      <c r="M1228" s="17"/>
      <c r="R1228" s="3"/>
      <c r="T1228" s="1"/>
    </row>
    <row r="1229" spans="8:20" x14ac:dyDescent="0.35">
      <c r="H1229" s="7"/>
      <c r="I1229" s="7"/>
      <c r="J1229" s="7"/>
      <c r="L1229" s="27"/>
      <c r="M1229" s="17"/>
      <c r="R1229" s="3"/>
      <c r="T1229" s="1"/>
    </row>
    <row r="1230" spans="8:20" x14ac:dyDescent="0.35">
      <c r="H1230" s="7"/>
      <c r="I1230" s="7"/>
      <c r="J1230" s="7"/>
      <c r="L1230" s="27"/>
      <c r="M1230" s="17"/>
      <c r="R1230" s="3"/>
      <c r="T1230" s="1"/>
    </row>
    <row r="1231" spans="8:20" x14ac:dyDescent="0.35">
      <c r="H1231" s="7"/>
      <c r="I1231" s="7"/>
      <c r="J1231" s="7"/>
      <c r="L1231" s="27"/>
      <c r="M1231" s="17"/>
      <c r="R1231" s="3"/>
      <c r="T1231" s="1"/>
    </row>
    <row r="1232" spans="8:20" x14ac:dyDescent="0.35">
      <c r="H1232" s="7"/>
      <c r="I1232" s="7"/>
      <c r="J1232" s="7"/>
      <c r="L1232" s="27"/>
      <c r="M1232" s="17"/>
      <c r="R1232" s="3"/>
      <c r="T1232" s="1"/>
    </row>
    <row r="1233" spans="8:20" x14ac:dyDescent="0.35">
      <c r="H1233" s="7"/>
      <c r="I1233" s="7"/>
      <c r="J1233" s="7"/>
      <c r="L1233" s="27"/>
      <c r="M1233" s="17"/>
      <c r="R1233" s="3"/>
      <c r="T1233" s="1"/>
    </row>
    <row r="1234" spans="8:20" x14ac:dyDescent="0.35">
      <c r="H1234" s="7"/>
      <c r="I1234" s="7"/>
      <c r="J1234" s="7"/>
      <c r="L1234" s="27"/>
      <c r="M1234" s="17"/>
      <c r="R1234" s="3"/>
      <c r="T1234" s="1"/>
    </row>
    <row r="1235" spans="8:20" x14ac:dyDescent="0.35">
      <c r="H1235" s="7"/>
      <c r="I1235" s="7"/>
      <c r="J1235" s="7"/>
      <c r="L1235" s="27"/>
      <c r="M1235" s="17"/>
      <c r="R1235" s="3"/>
      <c r="T1235" s="1"/>
    </row>
    <row r="1236" spans="8:20" x14ac:dyDescent="0.35">
      <c r="H1236" s="7"/>
      <c r="I1236" s="7"/>
      <c r="J1236" s="7"/>
      <c r="L1236" s="27"/>
      <c r="M1236" s="17"/>
      <c r="R1236" s="3"/>
      <c r="T1236" s="1"/>
    </row>
    <row r="1237" spans="8:20" x14ac:dyDescent="0.35">
      <c r="H1237" s="7"/>
      <c r="I1237" s="7"/>
      <c r="J1237" s="7"/>
      <c r="L1237" s="27"/>
      <c r="M1237" s="17"/>
      <c r="R1237" s="3"/>
      <c r="T1237" s="1"/>
    </row>
    <row r="1238" spans="8:20" x14ac:dyDescent="0.35">
      <c r="H1238" s="7"/>
      <c r="I1238" s="7"/>
      <c r="J1238" s="7"/>
      <c r="L1238" s="27"/>
      <c r="M1238" s="17"/>
      <c r="R1238" s="3"/>
      <c r="T1238" s="1"/>
    </row>
    <row r="1239" spans="8:20" x14ac:dyDescent="0.35">
      <c r="H1239" s="7"/>
      <c r="I1239" s="7"/>
      <c r="J1239" s="7"/>
      <c r="L1239" s="27"/>
      <c r="M1239" s="17"/>
      <c r="R1239" s="3"/>
      <c r="T1239" s="1"/>
    </row>
    <row r="1240" spans="8:20" x14ac:dyDescent="0.35">
      <c r="H1240" s="7"/>
      <c r="I1240" s="7"/>
      <c r="J1240" s="7"/>
      <c r="L1240" s="27"/>
      <c r="M1240" s="17"/>
      <c r="R1240" s="3"/>
      <c r="T1240" s="1"/>
    </row>
    <row r="1241" spans="8:20" x14ac:dyDescent="0.35">
      <c r="H1241" s="7"/>
      <c r="I1241" s="7"/>
      <c r="J1241" s="7"/>
      <c r="L1241" s="27"/>
      <c r="M1241" s="17"/>
      <c r="R1241" s="3"/>
      <c r="T1241" s="1"/>
    </row>
    <row r="1242" spans="8:20" x14ac:dyDescent="0.35">
      <c r="H1242" s="7"/>
      <c r="I1242" s="7"/>
      <c r="J1242" s="7"/>
      <c r="L1242" s="27"/>
      <c r="M1242" s="17"/>
      <c r="R1242" s="3"/>
      <c r="T1242" s="1"/>
    </row>
    <row r="1243" spans="8:20" x14ac:dyDescent="0.35">
      <c r="H1243" s="7"/>
      <c r="I1243" s="7"/>
      <c r="J1243" s="7"/>
      <c r="L1243" s="27"/>
      <c r="M1243" s="17"/>
      <c r="R1243" s="3"/>
      <c r="T1243" s="1"/>
    </row>
    <row r="1244" spans="8:20" x14ac:dyDescent="0.35">
      <c r="H1244" s="7"/>
      <c r="I1244" s="7"/>
      <c r="J1244" s="7"/>
      <c r="L1244" s="27"/>
      <c r="M1244" s="17"/>
      <c r="R1244" s="3"/>
      <c r="T1244" s="1"/>
    </row>
    <row r="1245" spans="8:20" x14ac:dyDescent="0.35">
      <c r="H1245" s="7"/>
      <c r="I1245" s="7"/>
      <c r="J1245" s="7"/>
      <c r="L1245" s="27"/>
      <c r="M1245" s="17"/>
      <c r="R1245" s="3"/>
      <c r="T1245" s="1"/>
    </row>
    <row r="1246" spans="8:20" x14ac:dyDescent="0.35">
      <c r="H1246" s="7"/>
      <c r="I1246" s="7"/>
      <c r="J1246" s="7"/>
      <c r="L1246" s="27"/>
      <c r="M1246" s="17"/>
      <c r="R1246" s="3"/>
      <c r="T1246" s="1"/>
    </row>
    <row r="1247" spans="8:20" x14ac:dyDescent="0.35">
      <c r="H1247" s="7"/>
      <c r="I1247" s="7"/>
      <c r="J1247" s="7"/>
      <c r="L1247" s="27"/>
      <c r="M1247" s="17"/>
      <c r="R1247" s="3"/>
      <c r="T1247" s="1"/>
    </row>
    <row r="1248" spans="8:20" x14ac:dyDescent="0.35">
      <c r="H1248" s="7"/>
      <c r="I1248" s="7"/>
      <c r="J1248" s="7"/>
      <c r="L1248" s="27"/>
      <c r="M1248" s="17"/>
      <c r="R1248" s="3"/>
      <c r="T1248" s="1"/>
    </row>
    <row r="1249" spans="8:20" x14ac:dyDescent="0.35">
      <c r="H1249" s="7"/>
      <c r="I1249" s="7"/>
      <c r="J1249" s="7"/>
      <c r="L1249" s="27"/>
      <c r="M1249" s="17"/>
      <c r="R1249" s="3"/>
      <c r="T1249" s="1"/>
    </row>
    <row r="1250" spans="8:20" x14ac:dyDescent="0.35">
      <c r="H1250" s="7"/>
      <c r="I1250" s="7"/>
      <c r="J1250" s="7"/>
      <c r="L1250" s="27"/>
      <c r="M1250" s="17"/>
      <c r="R1250" s="3"/>
      <c r="T1250" s="1"/>
    </row>
    <row r="1251" spans="8:20" x14ac:dyDescent="0.35">
      <c r="H1251" s="7"/>
      <c r="I1251" s="7"/>
      <c r="J1251" s="7"/>
      <c r="L1251" s="27"/>
      <c r="M1251" s="17"/>
      <c r="R1251" s="3"/>
      <c r="T1251" s="1"/>
    </row>
    <row r="1252" spans="8:20" x14ac:dyDescent="0.35">
      <c r="H1252" s="7"/>
      <c r="I1252" s="7"/>
      <c r="J1252" s="7"/>
      <c r="L1252" s="27"/>
      <c r="M1252" s="17"/>
      <c r="R1252" s="3"/>
      <c r="T1252" s="1"/>
    </row>
    <row r="1253" spans="8:20" x14ac:dyDescent="0.35">
      <c r="H1253" s="7"/>
      <c r="I1253" s="7"/>
      <c r="J1253" s="7"/>
      <c r="L1253" s="27"/>
      <c r="M1253" s="17"/>
      <c r="R1253" s="3"/>
      <c r="T1253" s="1"/>
    </row>
    <row r="1254" spans="8:20" x14ac:dyDescent="0.35">
      <c r="H1254" s="7"/>
      <c r="I1254" s="7"/>
      <c r="J1254" s="7"/>
      <c r="L1254" s="27"/>
      <c r="M1254" s="17"/>
      <c r="R1254" s="3"/>
      <c r="T1254" s="1"/>
    </row>
    <row r="1255" spans="8:20" x14ac:dyDescent="0.35">
      <c r="H1255" s="7"/>
      <c r="I1255" s="7"/>
      <c r="J1255" s="7"/>
      <c r="L1255" s="27"/>
      <c r="M1255" s="17"/>
      <c r="R1255" s="3"/>
      <c r="T1255" s="1"/>
    </row>
    <row r="1256" spans="8:20" x14ac:dyDescent="0.35">
      <c r="H1256" s="7"/>
      <c r="I1256" s="7"/>
      <c r="J1256" s="7"/>
      <c r="L1256" s="27"/>
      <c r="M1256" s="17"/>
      <c r="R1256" s="3"/>
      <c r="T1256" s="1"/>
    </row>
    <row r="1257" spans="8:20" x14ac:dyDescent="0.35">
      <c r="H1257" s="7"/>
      <c r="I1257" s="7"/>
      <c r="J1257" s="7"/>
      <c r="L1257" s="27"/>
      <c r="M1257" s="17"/>
      <c r="R1257" s="3"/>
      <c r="T1257" s="1"/>
    </row>
    <row r="1258" spans="8:20" x14ac:dyDescent="0.35">
      <c r="H1258" s="7"/>
      <c r="I1258" s="7"/>
      <c r="J1258" s="7"/>
      <c r="L1258" s="27"/>
      <c r="M1258" s="17"/>
      <c r="R1258" s="3"/>
      <c r="T1258" s="1"/>
    </row>
    <row r="1259" spans="8:20" x14ac:dyDescent="0.35">
      <c r="H1259" s="7"/>
      <c r="I1259" s="7"/>
      <c r="J1259" s="7"/>
      <c r="L1259" s="27"/>
      <c r="M1259" s="17"/>
      <c r="R1259" s="3"/>
      <c r="T1259" s="1"/>
    </row>
    <row r="1260" spans="8:20" x14ac:dyDescent="0.35">
      <c r="H1260" s="7"/>
      <c r="I1260" s="7"/>
      <c r="J1260" s="7"/>
      <c r="L1260" s="27"/>
      <c r="M1260" s="17"/>
      <c r="R1260" s="3"/>
      <c r="T1260" s="1"/>
    </row>
    <row r="1261" spans="8:20" x14ac:dyDescent="0.35">
      <c r="H1261" s="7"/>
      <c r="I1261" s="7"/>
      <c r="J1261" s="7"/>
      <c r="L1261" s="27"/>
      <c r="M1261" s="17"/>
      <c r="R1261" s="3"/>
      <c r="T1261" s="1"/>
    </row>
    <row r="1262" spans="8:20" x14ac:dyDescent="0.35">
      <c r="H1262" s="7"/>
      <c r="I1262" s="7"/>
      <c r="J1262" s="7"/>
      <c r="L1262" s="27"/>
      <c r="M1262" s="17"/>
      <c r="R1262" s="3"/>
      <c r="T1262" s="1"/>
    </row>
    <row r="1263" spans="8:20" x14ac:dyDescent="0.35">
      <c r="H1263" s="7"/>
      <c r="I1263" s="7"/>
      <c r="J1263" s="7"/>
      <c r="L1263" s="27"/>
      <c r="M1263" s="17"/>
      <c r="R1263" s="3"/>
      <c r="T1263" s="1"/>
    </row>
    <row r="1264" spans="8:20" x14ac:dyDescent="0.35">
      <c r="H1264" s="7"/>
      <c r="I1264" s="7"/>
      <c r="J1264" s="7"/>
      <c r="L1264" s="27"/>
      <c r="M1264" s="17"/>
      <c r="R1264" s="3"/>
      <c r="T1264" s="1"/>
    </row>
    <row r="1265" spans="8:20" x14ac:dyDescent="0.35">
      <c r="H1265" s="7"/>
      <c r="I1265" s="7"/>
      <c r="J1265" s="7"/>
      <c r="L1265" s="27"/>
      <c r="M1265" s="17"/>
      <c r="R1265" s="3"/>
      <c r="T1265" s="1"/>
    </row>
    <row r="1266" spans="8:20" x14ac:dyDescent="0.35">
      <c r="H1266" s="7"/>
      <c r="I1266" s="7"/>
      <c r="J1266" s="7"/>
      <c r="L1266" s="27"/>
      <c r="M1266" s="17"/>
      <c r="R1266" s="3"/>
      <c r="T1266" s="1"/>
    </row>
    <row r="1267" spans="8:20" x14ac:dyDescent="0.35">
      <c r="H1267" s="7"/>
      <c r="I1267" s="7"/>
      <c r="J1267" s="7"/>
      <c r="L1267" s="27"/>
      <c r="M1267" s="17"/>
      <c r="R1267" s="3"/>
      <c r="T1267" s="1"/>
    </row>
    <row r="1268" spans="8:20" x14ac:dyDescent="0.35">
      <c r="H1268" s="7"/>
      <c r="I1268" s="7"/>
      <c r="J1268" s="7"/>
      <c r="L1268" s="27"/>
      <c r="M1268" s="17"/>
      <c r="R1268" s="3"/>
      <c r="T1268" s="1"/>
    </row>
    <row r="1269" spans="8:20" x14ac:dyDescent="0.35">
      <c r="H1269" s="7"/>
      <c r="I1269" s="7"/>
      <c r="J1269" s="7"/>
      <c r="L1269" s="27"/>
      <c r="M1269" s="17"/>
      <c r="R1269" s="3"/>
      <c r="T1269" s="1"/>
    </row>
    <row r="1270" spans="8:20" x14ac:dyDescent="0.35">
      <c r="H1270" s="7"/>
      <c r="I1270" s="7"/>
      <c r="J1270" s="7"/>
      <c r="L1270" s="27"/>
      <c r="M1270" s="17"/>
      <c r="R1270" s="3"/>
      <c r="T1270" s="1"/>
    </row>
    <row r="1271" spans="8:20" x14ac:dyDescent="0.35">
      <c r="H1271" s="7"/>
      <c r="I1271" s="7"/>
      <c r="J1271" s="7"/>
      <c r="L1271" s="27"/>
      <c r="M1271" s="17"/>
      <c r="R1271" s="3"/>
      <c r="T1271" s="1"/>
    </row>
    <row r="1272" spans="8:20" x14ac:dyDescent="0.35">
      <c r="H1272" s="7"/>
      <c r="I1272" s="7"/>
      <c r="J1272" s="7"/>
      <c r="L1272" s="27"/>
      <c r="M1272" s="17"/>
      <c r="R1272" s="3"/>
      <c r="T1272" s="1"/>
    </row>
    <row r="1273" spans="8:20" x14ac:dyDescent="0.35">
      <c r="H1273" s="7"/>
      <c r="I1273" s="7"/>
      <c r="J1273" s="7"/>
      <c r="L1273" s="27"/>
      <c r="M1273" s="17"/>
      <c r="R1273" s="3"/>
      <c r="T1273" s="1"/>
    </row>
    <row r="1274" spans="8:20" x14ac:dyDescent="0.35">
      <c r="H1274" s="7"/>
      <c r="I1274" s="7"/>
      <c r="J1274" s="7"/>
      <c r="L1274" s="27"/>
      <c r="M1274" s="17"/>
      <c r="R1274" s="3"/>
      <c r="T1274" s="1"/>
    </row>
    <row r="1275" spans="8:20" x14ac:dyDescent="0.35">
      <c r="H1275" s="7"/>
      <c r="I1275" s="7"/>
      <c r="J1275" s="7"/>
      <c r="L1275" s="27"/>
      <c r="M1275" s="17"/>
      <c r="R1275" s="3"/>
      <c r="T1275" s="1"/>
    </row>
    <row r="1276" spans="8:20" x14ac:dyDescent="0.35">
      <c r="H1276" s="7"/>
      <c r="I1276" s="7"/>
      <c r="J1276" s="7"/>
      <c r="L1276" s="27"/>
      <c r="M1276" s="17"/>
      <c r="R1276" s="3"/>
      <c r="T1276" s="1"/>
    </row>
    <row r="1277" spans="8:20" x14ac:dyDescent="0.35">
      <c r="H1277" s="7"/>
      <c r="I1277" s="7"/>
      <c r="J1277" s="7"/>
      <c r="L1277" s="27"/>
      <c r="M1277" s="17"/>
      <c r="R1277" s="3"/>
      <c r="T1277" s="1"/>
    </row>
    <row r="1278" spans="8:20" x14ac:dyDescent="0.35">
      <c r="H1278" s="7"/>
      <c r="I1278" s="7"/>
      <c r="J1278" s="7"/>
      <c r="L1278" s="27"/>
      <c r="M1278" s="17"/>
      <c r="R1278" s="3"/>
      <c r="T1278" s="1"/>
    </row>
    <row r="1279" spans="8:20" x14ac:dyDescent="0.35">
      <c r="H1279" s="7"/>
      <c r="I1279" s="7"/>
      <c r="J1279" s="7"/>
      <c r="L1279" s="27"/>
      <c r="M1279" s="17"/>
      <c r="R1279" s="3"/>
      <c r="T1279" s="1"/>
    </row>
    <row r="1280" spans="8:20" x14ac:dyDescent="0.35">
      <c r="H1280" s="7"/>
      <c r="I1280" s="7"/>
      <c r="J1280" s="7"/>
      <c r="L1280" s="27"/>
      <c r="M1280" s="17"/>
      <c r="R1280" s="3"/>
      <c r="T1280" s="1"/>
    </row>
    <row r="1281" spans="8:20" x14ac:dyDescent="0.35">
      <c r="H1281" s="7"/>
      <c r="I1281" s="7"/>
      <c r="J1281" s="7"/>
      <c r="L1281" s="27"/>
      <c r="M1281" s="17"/>
      <c r="R1281" s="3"/>
      <c r="T1281" s="1"/>
    </row>
    <row r="1282" spans="8:20" x14ac:dyDescent="0.35">
      <c r="H1282" s="7"/>
      <c r="I1282" s="7"/>
      <c r="J1282" s="7"/>
      <c r="L1282" s="27"/>
      <c r="M1282" s="17"/>
      <c r="R1282" s="3"/>
      <c r="T1282" s="1"/>
    </row>
    <row r="1283" spans="8:20" x14ac:dyDescent="0.35">
      <c r="H1283" s="7"/>
      <c r="I1283" s="7"/>
      <c r="J1283" s="7"/>
      <c r="L1283" s="27"/>
      <c r="M1283" s="17"/>
      <c r="R1283" s="3"/>
      <c r="T1283" s="1"/>
    </row>
    <row r="1284" spans="8:20" x14ac:dyDescent="0.35">
      <c r="H1284" s="7"/>
      <c r="I1284" s="7"/>
      <c r="J1284" s="7"/>
      <c r="L1284" s="27"/>
      <c r="M1284" s="17"/>
      <c r="R1284" s="3"/>
      <c r="T1284" s="1"/>
    </row>
    <row r="1285" spans="8:20" x14ac:dyDescent="0.35">
      <c r="H1285" s="7"/>
      <c r="I1285" s="7"/>
      <c r="J1285" s="7"/>
      <c r="L1285" s="27"/>
      <c r="M1285" s="17"/>
      <c r="R1285" s="3"/>
      <c r="T1285" s="1"/>
    </row>
    <row r="1286" spans="8:20" x14ac:dyDescent="0.35">
      <c r="H1286" s="7"/>
      <c r="I1286" s="7"/>
      <c r="J1286" s="7"/>
      <c r="L1286" s="27"/>
      <c r="M1286" s="17"/>
      <c r="R1286" s="3"/>
      <c r="T1286" s="1"/>
    </row>
    <row r="1287" spans="8:20" x14ac:dyDescent="0.35">
      <c r="H1287" s="7"/>
      <c r="I1287" s="7"/>
      <c r="J1287" s="7"/>
      <c r="L1287" s="27"/>
      <c r="M1287" s="17"/>
      <c r="R1287" s="3"/>
      <c r="T1287" s="1"/>
    </row>
    <row r="1288" spans="8:20" x14ac:dyDescent="0.35">
      <c r="H1288" s="7"/>
      <c r="I1288" s="7"/>
      <c r="J1288" s="7"/>
      <c r="L1288" s="27"/>
      <c r="M1288" s="17"/>
      <c r="R1288" s="3"/>
      <c r="T1288" s="1"/>
    </row>
    <row r="1289" spans="8:20" x14ac:dyDescent="0.35">
      <c r="H1289" s="7"/>
      <c r="I1289" s="7"/>
      <c r="J1289" s="7"/>
      <c r="L1289" s="27"/>
      <c r="M1289" s="17"/>
      <c r="R1289" s="3"/>
      <c r="T1289" s="1"/>
    </row>
    <row r="1290" spans="8:20" x14ac:dyDescent="0.35">
      <c r="H1290" s="7"/>
      <c r="I1290" s="7"/>
      <c r="J1290" s="7"/>
      <c r="L1290" s="27"/>
      <c r="M1290" s="17"/>
      <c r="R1290" s="3"/>
      <c r="T1290" s="1"/>
    </row>
    <row r="1291" spans="8:20" x14ac:dyDescent="0.35">
      <c r="H1291" s="7"/>
      <c r="I1291" s="7"/>
      <c r="J1291" s="7"/>
      <c r="L1291" s="27"/>
      <c r="M1291" s="17"/>
      <c r="R1291" s="3"/>
      <c r="T1291" s="1"/>
    </row>
    <row r="1292" spans="8:20" x14ac:dyDescent="0.35">
      <c r="H1292" s="7"/>
      <c r="I1292" s="7"/>
      <c r="J1292" s="7"/>
      <c r="L1292" s="27"/>
      <c r="M1292" s="17"/>
      <c r="R1292" s="3"/>
      <c r="T1292" s="1"/>
    </row>
    <row r="1293" spans="8:20" x14ac:dyDescent="0.35">
      <c r="H1293" s="7"/>
      <c r="I1293" s="7"/>
      <c r="J1293" s="7"/>
      <c r="L1293" s="27"/>
      <c r="M1293" s="17"/>
      <c r="R1293" s="3"/>
      <c r="T1293" s="1"/>
    </row>
    <row r="1294" spans="8:20" x14ac:dyDescent="0.35">
      <c r="H1294" s="7"/>
      <c r="I1294" s="7"/>
      <c r="J1294" s="7"/>
      <c r="L1294" s="27"/>
      <c r="M1294" s="17"/>
      <c r="R1294" s="3"/>
      <c r="T1294" s="1"/>
    </row>
    <row r="1295" spans="8:20" x14ac:dyDescent="0.35">
      <c r="H1295" s="7"/>
      <c r="I1295" s="7"/>
      <c r="J1295" s="7"/>
      <c r="L1295" s="27"/>
      <c r="M1295" s="17"/>
      <c r="R1295" s="3"/>
      <c r="T1295" s="1"/>
    </row>
    <row r="1296" spans="8:20" x14ac:dyDescent="0.35">
      <c r="H1296" s="7"/>
      <c r="I1296" s="7"/>
      <c r="J1296" s="7"/>
      <c r="L1296" s="27"/>
      <c r="M1296" s="17"/>
      <c r="R1296" s="3"/>
      <c r="T1296" s="1"/>
    </row>
    <row r="1297" spans="8:20" x14ac:dyDescent="0.35">
      <c r="H1297" s="7"/>
      <c r="I1297" s="7"/>
      <c r="J1297" s="7"/>
      <c r="L1297" s="27"/>
      <c r="M1297" s="17"/>
      <c r="R1297" s="3"/>
      <c r="T1297" s="1"/>
    </row>
    <row r="1298" spans="8:20" x14ac:dyDescent="0.35">
      <c r="H1298" s="7"/>
      <c r="I1298" s="7"/>
      <c r="J1298" s="7"/>
      <c r="L1298" s="27"/>
      <c r="M1298" s="17"/>
      <c r="R1298" s="3"/>
      <c r="T1298" s="1"/>
    </row>
    <row r="1299" spans="8:20" x14ac:dyDescent="0.35">
      <c r="H1299" s="7"/>
      <c r="I1299" s="7"/>
      <c r="J1299" s="7"/>
      <c r="L1299" s="27"/>
      <c r="M1299" s="17"/>
      <c r="R1299" s="3"/>
      <c r="T1299" s="1"/>
    </row>
    <row r="1300" spans="8:20" x14ac:dyDescent="0.35">
      <c r="H1300" s="7"/>
      <c r="I1300" s="7"/>
      <c r="J1300" s="7"/>
      <c r="L1300" s="27"/>
      <c r="M1300" s="17"/>
      <c r="R1300" s="3"/>
      <c r="T1300" s="1"/>
    </row>
    <row r="1301" spans="8:20" x14ac:dyDescent="0.35">
      <c r="H1301" s="7"/>
      <c r="I1301" s="7"/>
      <c r="J1301" s="7"/>
      <c r="L1301" s="27"/>
      <c r="M1301" s="17"/>
      <c r="R1301" s="3"/>
      <c r="T1301" s="1"/>
    </row>
    <row r="1302" spans="8:20" x14ac:dyDescent="0.35">
      <c r="H1302" s="7"/>
      <c r="I1302" s="7"/>
      <c r="J1302" s="7"/>
      <c r="L1302" s="27"/>
      <c r="M1302" s="17"/>
      <c r="R1302" s="3"/>
      <c r="T1302" s="1"/>
    </row>
    <row r="1303" spans="8:20" x14ac:dyDescent="0.35">
      <c r="H1303" s="7"/>
      <c r="I1303" s="7"/>
      <c r="J1303" s="7"/>
      <c r="L1303" s="27"/>
      <c r="M1303" s="17"/>
      <c r="R1303" s="3"/>
      <c r="T1303" s="1"/>
    </row>
    <row r="1304" spans="8:20" x14ac:dyDescent="0.35">
      <c r="H1304" s="7"/>
      <c r="I1304" s="7"/>
      <c r="J1304" s="7"/>
      <c r="L1304" s="27"/>
      <c r="M1304" s="17"/>
      <c r="R1304" s="3"/>
      <c r="T1304" s="1"/>
    </row>
    <row r="1305" spans="8:20" x14ac:dyDescent="0.35">
      <c r="H1305" s="7"/>
      <c r="I1305" s="7"/>
      <c r="J1305" s="7"/>
      <c r="L1305" s="27"/>
      <c r="M1305" s="17"/>
      <c r="R1305" s="3"/>
      <c r="T1305" s="1"/>
    </row>
    <row r="1306" spans="8:20" x14ac:dyDescent="0.35">
      <c r="H1306" s="7"/>
      <c r="I1306" s="7"/>
      <c r="J1306" s="7"/>
      <c r="L1306" s="27"/>
      <c r="M1306" s="17"/>
      <c r="R1306" s="3"/>
      <c r="T1306" s="1"/>
    </row>
    <row r="1307" spans="8:20" x14ac:dyDescent="0.35">
      <c r="H1307" s="7"/>
      <c r="I1307" s="7"/>
      <c r="J1307" s="7"/>
      <c r="L1307" s="27"/>
      <c r="M1307" s="17"/>
      <c r="R1307" s="3"/>
      <c r="T1307" s="1"/>
    </row>
    <row r="1308" spans="8:20" x14ac:dyDescent="0.35">
      <c r="H1308" s="7"/>
      <c r="I1308" s="7"/>
      <c r="J1308" s="7"/>
      <c r="L1308" s="27"/>
      <c r="M1308" s="17"/>
      <c r="R1308" s="3"/>
      <c r="T1308" s="1"/>
    </row>
    <row r="1309" spans="8:20" x14ac:dyDescent="0.35">
      <c r="H1309" s="7"/>
      <c r="I1309" s="7"/>
      <c r="J1309" s="7"/>
      <c r="L1309" s="27"/>
      <c r="M1309" s="17"/>
      <c r="R1309" s="3"/>
      <c r="T1309" s="1"/>
    </row>
    <row r="1310" spans="8:20" x14ac:dyDescent="0.35">
      <c r="H1310" s="7"/>
      <c r="I1310" s="7"/>
      <c r="J1310" s="7"/>
      <c r="L1310" s="27"/>
      <c r="M1310" s="17"/>
      <c r="R1310" s="3"/>
      <c r="T1310" s="1"/>
    </row>
    <row r="1311" spans="8:20" x14ac:dyDescent="0.35">
      <c r="H1311" s="7"/>
      <c r="I1311" s="7"/>
      <c r="J1311" s="7"/>
      <c r="L1311" s="27"/>
      <c r="M1311" s="17"/>
      <c r="R1311" s="3"/>
      <c r="T1311" s="1"/>
    </row>
    <row r="1312" spans="8:20" x14ac:dyDescent="0.35">
      <c r="H1312" s="7"/>
      <c r="I1312" s="7"/>
      <c r="J1312" s="7"/>
      <c r="L1312" s="27"/>
      <c r="M1312" s="17"/>
      <c r="R1312" s="3"/>
      <c r="T1312" s="1"/>
    </row>
    <row r="1313" spans="8:21" x14ac:dyDescent="0.35">
      <c r="H1313" s="7"/>
      <c r="I1313" s="7"/>
      <c r="J1313" s="7"/>
      <c r="L1313" s="27"/>
      <c r="M1313" s="17"/>
      <c r="R1313" s="3"/>
      <c r="T1313" s="1"/>
      <c r="U1313" s="29"/>
    </row>
    <row r="1314" spans="8:21" x14ac:dyDescent="0.35">
      <c r="H1314" s="7"/>
      <c r="I1314" s="7"/>
      <c r="J1314" s="7"/>
      <c r="L1314" s="27"/>
      <c r="M1314" s="17"/>
      <c r="R1314" s="3"/>
      <c r="T1314" s="1"/>
      <c r="U1314" s="29"/>
    </row>
    <row r="1315" spans="8:21" x14ac:dyDescent="0.35">
      <c r="H1315" s="7"/>
      <c r="I1315" s="7"/>
      <c r="J1315" s="7"/>
      <c r="L1315" s="27"/>
      <c r="M1315" s="17"/>
      <c r="R1315" s="3"/>
      <c r="T1315" s="1"/>
    </row>
    <row r="1316" spans="8:21" x14ac:dyDescent="0.35">
      <c r="H1316" s="7"/>
      <c r="I1316" s="7"/>
      <c r="J1316" s="7"/>
      <c r="L1316" s="27"/>
      <c r="M1316" s="17"/>
      <c r="R1316" s="3"/>
      <c r="T1316" s="1"/>
    </row>
    <row r="1317" spans="8:21" x14ac:dyDescent="0.35">
      <c r="H1317" s="7"/>
      <c r="I1317" s="7"/>
      <c r="J1317" s="7"/>
      <c r="L1317" s="27"/>
      <c r="M1317" s="17"/>
      <c r="R1317" s="3"/>
      <c r="T1317" s="1"/>
    </row>
    <row r="1318" spans="8:21" x14ac:dyDescent="0.35">
      <c r="H1318" s="7"/>
      <c r="I1318" s="7"/>
      <c r="J1318" s="7"/>
      <c r="L1318" s="27"/>
      <c r="M1318" s="17"/>
      <c r="R1318" s="3"/>
      <c r="T1318" s="1"/>
    </row>
    <row r="1319" spans="8:21" x14ac:dyDescent="0.35">
      <c r="H1319" s="7"/>
      <c r="I1319" s="7"/>
      <c r="J1319" s="7"/>
      <c r="L1319" s="27"/>
      <c r="M1319" s="17"/>
      <c r="R1319" s="3"/>
      <c r="T1319" s="1"/>
    </row>
    <row r="1320" spans="8:21" x14ac:dyDescent="0.35">
      <c r="H1320" s="7"/>
      <c r="I1320" s="7"/>
      <c r="J1320" s="7"/>
      <c r="L1320" s="27"/>
      <c r="M1320" s="17"/>
      <c r="R1320" s="3"/>
      <c r="T1320" s="1"/>
    </row>
    <row r="1321" spans="8:21" x14ac:dyDescent="0.35">
      <c r="H1321" s="7"/>
      <c r="I1321" s="7"/>
      <c r="J1321" s="7"/>
      <c r="L1321" s="27"/>
      <c r="M1321" s="17"/>
      <c r="R1321" s="3"/>
      <c r="T1321" s="1"/>
    </row>
    <row r="1322" spans="8:21" x14ac:dyDescent="0.35">
      <c r="H1322" s="7"/>
      <c r="I1322" s="7"/>
      <c r="J1322" s="7"/>
      <c r="L1322" s="27"/>
      <c r="M1322" s="17"/>
      <c r="R1322" s="3"/>
      <c r="T1322" s="1"/>
    </row>
    <row r="1323" spans="8:21" x14ac:dyDescent="0.35">
      <c r="H1323" s="7"/>
      <c r="I1323" s="7"/>
      <c r="J1323" s="7"/>
      <c r="L1323" s="27"/>
      <c r="M1323" s="17"/>
      <c r="R1323" s="3"/>
      <c r="T1323" s="1"/>
    </row>
    <row r="1324" spans="8:21" x14ac:dyDescent="0.35">
      <c r="H1324" s="7"/>
      <c r="I1324" s="7"/>
      <c r="J1324" s="7"/>
      <c r="L1324" s="27"/>
      <c r="M1324" s="17"/>
      <c r="R1324" s="3"/>
      <c r="T1324" s="1"/>
    </row>
    <row r="1325" spans="8:21" x14ac:dyDescent="0.35">
      <c r="H1325" s="7"/>
      <c r="I1325" s="7"/>
      <c r="J1325" s="7"/>
      <c r="L1325" s="27"/>
      <c r="M1325" s="17"/>
      <c r="R1325" s="3"/>
      <c r="T1325" s="1"/>
    </row>
    <row r="1326" spans="8:21" x14ac:dyDescent="0.35">
      <c r="H1326" s="7"/>
      <c r="I1326" s="7"/>
      <c r="J1326" s="7"/>
      <c r="L1326" s="27"/>
      <c r="M1326" s="17"/>
      <c r="R1326" s="3"/>
      <c r="T1326" s="1"/>
    </row>
    <row r="1327" spans="8:21" x14ac:dyDescent="0.35">
      <c r="H1327" s="7"/>
      <c r="I1327" s="7"/>
      <c r="J1327" s="7"/>
      <c r="L1327" s="27"/>
      <c r="M1327" s="17"/>
      <c r="R1327" s="3"/>
      <c r="T1327" s="1"/>
    </row>
    <row r="1328" spans="8:21" x14ac:dyDescent="0.35">
      <c r="H1328" s="7"/>
      <c r="I1328" s="7"/>
      <c r="J1328" s="7"/>
      <c r="L1328" s="27"/>
      <c r="M1328" s="17"/>
      <c r="R1328" s="3"/>
      <c r="T1328" s="1"/>
    </row>
    <row r="1329" spans="8:20" x14ac:dyDescent="0.35">
      <c r="H1329" s="7"/>
      <c r="I1329" s="7"/>
      <c r="J1329" s="7"/>
      <c r="L1329" s="27"/>
      <c r="M1329" s="17"/>
      <c r="R1329" s="3"/>
      <c r="T1329" s="1"/>
    </row>
    <row r="1330" spans="8:20" x14ac:dyDescent="0.35">
      <c r="H1330" s="7"/>
      <c r="I1330" s="7"/>
      <c r="J1330" s="7"/>
      <c r="L1330" s="27"/>
      <c r="M1330" s="17"/>
      <c r="R1330" s="3"/>
      <c r="T1330" s="1"/>
    </row>
    <row r="1331" spans="8:20" x14ac:dyDescent="0.35">
      <c r="H1331" s="7"/>
      <c r="I1331" s="7"/>
      <c r="J1331" s="7"/>
      <c r="L1331" s="27"/>
      <c r="M1331" s="17"/>
      <c r="R1331" s="3"/>
      <c r="T1331" s="1"/>
    </row>
    <row r="1332" spans="8:20" x14ac:dyDescent="0.35">
      <c r="H1332" s="7"/>
      <c r="I1332" s="7"/>
      <c r="J1332" s="7"/>
      <c r="L1332" s="27"/>
      <c r="M1332" s="17"/>
      <c r="R1332" s="3"/>
      <c r="T1332" s="1"/>
    </row>
    <row r="1333" spans="8:20" x14ac:dyDescent="0.35">
      <c r="H1333" s="7"/>
      <c r="I1333" s="7"/>
      <c r="J1333" s="7"/>
      <c r="L1333" s="27"/>
      <c r="M1333" s="17"/>
      <c r="R1333" s="3"/>
      <c r="T1333" s="1"/>
    </row>
    <row r="1334" spans="8:20" x14ac:dyDescent="0.35">
      <c r="H1334" s="7"/>
      <c r="I1334" s="7"/>
      <c r="J1334" s="7"/>
      <c r="L1334" s="27"/>
      <c r="M1334" s="17"/>
      <c r="R1334" s="3"/>
      <c r="T1334" s="1"/>
    </row>
    <row r="1335" spans="8:20" x14ac:dyDescent="0.35">
      <c r="H1335" s="7"/>
      <c r="I1335" s="7"/>
      <c r="J1335" s="7"/>
      <c r="L1335" s="27"/>
      <c r="M1335" s="17"/>
      <c r="R1335" s="3"/>
      <c r="T1335" s="1"/>
    </row>
    <row r="1336" spans="8:20" x14ac:dyDescent="0.35">
      <c r="H1336" s="7"/>
      <c r="I1336" s="7"/>
      <c r="J1336" s="7"/>
      <c r="L1336" s="27"/>
      <c r="M1336" s="17"/>
      <c r="R1336" s="3"/>
      <c r="T1336" s="1"/>
    </row>
    <row r="1337" spans="8:20" x14ac:dyDescent="0.35">
      <c r="H1337" s="7"/>
      <c r="I1337" s="7"/>
      <c r="J1337" s="7"/>
      <c r="L1337" s="27"/>
      <c r="M1337" s="17"/>
      <c r="R1337" s="3"/>
      <c r="T1337" s="1"/>
    </row>
    <row r="1338" spans="8:20" x14ac:dyDescent="0.35">
      <c r="H1338" s="7"/>
      <c r="I1338" s="7"/>
      <c r="J1338" s="7"/>
      <c r="L1338" s="27"/>
      <c r="M1338" s="17"/>
      <c r="R1338" s="3"/>
      <c r="T1338" s="1"/>
    </row>
    <row r="1339" spans="8:20" x14ac:dyDescent="0.35">
      <c r="H1339" s="7"/>
      <c r="I1339" s="7"/>
      <c r="J1339" s="7"/>
      <c r="L1339" s="27"/>
      <c r="M1339" s="17"/>
      <c r="R1339" s="3"/>
      <c r="T1339" s="1"/>
    </row>
    <row r="1340" spans="8:20" x14ac:dyDescent="0.35">
      <c r="H1340" s="7"/>
      <c r="I1340" s="7"/>
      <c r="J1340" s="7"/>
      <c r="L1340" s="27"/>
      <c r="M1340" s="17"/>
      <c r="R1340" s="3"/>
      <c r="T1340" s="1"/>
    </row>
    <row r="1341" spans="8:20" x14ac:dyDescent="0.35">
      <c r="H1341" s="7"/>
      <c r="I1341" s="7"/>
      <c r="J1341" s="7"/>
      <c r="L1341" s="27"/>
      <c r="M1341" s="17"/>
      <c r="R1341" s="3"/>
      <c r="T1341" s="1"/>
    </row>
    <row r="1342" spans="8:20" x14ac:dyDescent="0.35">
      <c r="H1342" s="7"/>
      <c r="I1342" s="7"/>
      <c r="J1342" s="7"/>
      <c r="L1342" s="27"/>
      <c r="M1342" s="17"/>
      <c r="R1342" s="3"/>
      <c r="T1342" s="1"/>
    </row>
    <row r="1343" spans="8:20" x14ac:dyDescent="0.35">
      <c r="H1343" s="7"/>
      <c r="I1343" s="7"/>
      <c r="J1343" s="7"/>
      <c r="L1343" s="27"/>
      <c r="M1343" s="17"/>
      <c r="R1343" s="3"/>
      <c r="T1343" s="1"/>
    </row>
    <row r="1344" spans="8:20" x14ac:dyDescent="0.35">
      <c r="H1344" s="7"/>
      <c r="I1344" s="7"/>
      <c r="J1344" s="7"/>
      <c r="L1344" s="27"/>
      <c r="M1344" s="17"/>
      <c r="R1344" s="3"/>
      <c r="T1344" s="1"/>
    </row>
    <row r="1345" spans="8:20" x14ac:dyDescent="0.35">
      <c r="H1345" s="7"/>
      <c r="I1345" s="7"/>
      <c r="J1345" s="7"/>
      <c r="L1345" s="27"/>
      <c r="M1345" s="17"/>
      <c r="R1345" s="3"/>
      <c r="T1345" s="1"/>
    </row>
    <row r="1346" spans="8:20" x14ac:dyDescent="0.35">
      <c r="H1346" s="7"/>
      <c r="I1346" s="7"/>
      <c r="J1346" s="7"/>
      <c r="L1346" s="27"/>
      <c r="M1346" s="17"/>
      <c r="R1346" s="3"/>
      <c r="T1346" s="1"/>
    </row>
    <row r="1347" spans="8:20" x14ac:dyDescent="0.35">
      <c r="H1347" s="7"/>
      <c r="I1347" s="7"/>
      <c r="J1347" s="7"/>
      <c r="L1347" s="27"/>
      <c r="M1347" s="17"/>
      <c r="R1347" s="3"/>
      <c r="T1347" s="1"/>
    </row>
    <row r="1348" spans="8:20" x14ac:dyDescent="0.35">
      <c r="H1348" s="7"/>
      <c r="I1348" s="7"/>
      <c r="J1348" s="7"/>
      <c r="L1348" s="27"/>
      <c r="M1348" s="17"/>
      <c r="R1348" s="3"/>
      <c r="T1348" s="1"/>
    </row>
    <row r="1349" spans="8:20" x14ac:dyDescent="0.35">
      <c r="H1349" s="7"/>
      <c r="I1349" s="7"/>
      <c r="J1349" s="7"/>
      <c r="L1349" s="27"/>
      <c r="M1349" s="17"/>
      <c r="R1349" s="3"/>
      <c r="T1349" s="1"/>
    </row>
    <row r="1350" spans="8:20" x14ac:dyDescent="0.35">
      <c r="H1350" s="7"/>
      <c r="I1350" s="7"/>
      <c r="J1350" s="7"/>
      <c r="L1350" s="27"/>
      <c r="M1350" s="17"/>
      <c r="R1350" s="3"/>
      <c r="T1350" s="1"/>
    </row>
    <row r="1351" spans="8:20" x14ac:dyDescent="0.35">
      <c r="H1351" s="7"/>
      <c r="I1351" s="7"/>
      <c r="J1351" s="7"/>
      <c r="L1351" s="27"/>
      <c r="M1351" s="17"/>
      <c r="R1351" s="3"/>
      <c r="T1351" s="1"/>
    </row>
    <row r="1352" spans="8:20" x14ac:dyDescent="0.35">
      <c r="H1352" s="7"/>
      <c r="I1352" s="7"/>
      <c r="J1352" s="7"/>
      <c r="L1352" s="27"/>
      <c r="M1352" s="17"/>
      <c r="R1352" s="3"/>
      <c r="T1352" s="1"/>
    </row>
    <row r="1353" spans="8:20" x14ac:dyDescent="0.35">
      <c r="H1353" s="7"/>
      <c r="I1353" s="7"/>
      <c r="J1353" s="7"/>
      <c r="L1353" s="27"/>
      <c r="M1353" s="17"/>
      <c r="R1353" s="3"/>
      <c r="T1353" s="1"/>
    </row>
    <row r="1354" spans="8:20" x14ac:dyDescent="0.35">
      <c r="H1354" s="7"/>
      <c r="I1354" s="7"/>
      <c r="J1354" s="7"/>
      <c r="L1354" s="27"/>
      <c r="M1354" s="17"/>
      <c r="R1354" s="3"/>
      <c r="T1354" s="1"/>
    </row>
    <row r="1355" spans="8:20" x14ac:dyDescent="0.35">
      <c r="H1355" s="7"/>
      <c r="I1355" s="7"/>
      <c r="J1355" s="7"/>
      <c r="L1355" s="27"/>
      <c r="M1355" s="17"/>
      <c r="R1355" s="3"/>
      <c r="T1355" s="1"/>
    </row>
    <row r="1356" spans="8:20" x14ac:dyDescent="0.35">
      <c r="H1356" s="7"/>
      <c r="I1356" s="7"/>
      <c r="J1356" s="7"/>
      <c r="L1356" s="27"/>
      <c r="M1356" s="17"/>
      <c r="R1356" s="3"/>
      <c r="T1356" s="1"/>
    </row>
    <row r="1357" spans="8:20" x14ac:dyDescent="0.35">
      <c r="H1357" s="7"/>
      <c r="I1357" s="7"/>
      <c r="J1357" s="7"/>
      <c r="L1357" s="27"/>
      <c r="M1357" s="17"/>
      <c r="R1357" s="3"/>
      <c r="T1357" s="1"/>
    </row>
    <row r="1358" spans="8:20" x14ac:dyDescent="0.35">
      <c r="H1358" s="7"/>
      <c r="I1358" s="7"/>
      <c r="J1358" s="7"/>
      <c r="L1358" s="27"/>
      <c r="M1358" s="17"/>
      <c r="R1358" s="3"/>
      <c r="T1358" s="1"/>
    </row>
    <row r="1359" spans="8:20" x14ac:dyDescent="0.35">
      <c r="H1359" s="7"/>
      <c r="I1359" s="7"/>
      <c r="J1359" s="7"/>
      <c r="L1359" s="27"/>
      <c r="M1359" s="17"/>
      <c r="R1359" s="3"/>
      <c r="T1359" s="1"/>
    </row>
    <row r="1360" spans="8:20" x14ac:dyDescent="0.35">
      <c r="H1360" s="7"/>
      <c r="I1360" s="7"/>
      <c r="J1360" s="7"/>
      <c r="L1360" s="27"/>
      <c r="M1360" s="17"/>
      <c r="R1360" s="3"/>
      <c r="T1360" s="1"/>
    </row>
    <row r="1361" spans="8:20" x14ac:dyDescent="0.35">
      <c r="H1361" s="7"/>
      <c r="I1361" s="7"/>
      <c r="J1361" s="7"/>
      <c r="L1361" s="27"/>
      <c r="M1361" s="17"/>
      <c r="R1361" s="3"/>
      <c r="T1361" s="1"/>
    </row>
    <row r="1362" spans="8:20" x14ac:dyDescent="0.35">
      <c r="H1362" s="7"/>
      <c r="I1362" s="7"/>
      <c r="J1362" s="7"/>
      <c r="L1362" s="27"/>
      <c r="M1362" s="17"/>
      <c r="R1362" s="3"/>
      <c r="T1362" s="1"/>
    </row>
    <row r="1363" spans="8:20" x14ac:dyDescent="0.35">
      <c r="H1363" s="7"/>
      <c r="I1363" s="7"/>
      <c r="J1363" s="7"/>
      <c r="L1363" s="27"/>
      <c r="M1363" s="17"/>
      <c r="R1363" s="3"/>
      <c r="T1363" s="1"/>
    </row>
    <row r="1364" spans="8:20" x14ac:dyDescent="0.35">
      <c r="H1364" s="7"/>
      <c r="I1364" s="7"/>
      <c r="J1364" s="7"/>
      <c r="L1364" s="28"/>
      <c r="M1364" s="17"/>
      <c r="R1364" s="3"/>
      <c r="T1364" s="1"/>
    </row>
    <row r="1365" spans="8:20" x14ac:dyDescent="0.35">
      <c r="H1365" s="7"/>
      <c r="I1365" s="7"/>
      <c r="J1365" s="7"/>
      <c r="L1365" s="28"/>
      <c r="M1365" s="17"/>
      <c r="R1365" s="3"/>
      <c r="T1365" s="1"/>
    </row>
    <row r="1366" spans="8:20" x14ac:dyDescent="0.35">
      <c r="H1366" s="7"/>
      <c r="I1366" s="7"/>
      <c r="J1366" s="7"/>
      <c r="L1366" s="28"/>
      <c r="M1366" s="17"/>
      <c r="R1366" s="3"/>
      <c r="T1366" s="1"/>
    </row>
    <row r="1367" spans="8:20" x14ac:dyDescent="0.35">
      <c r="H1367" s="7"/>
      <c r="I1367" s="7"/>
      <c r="J1367" s="7"/>
      <c r="L1367" s="27"/>
      <c r="M1367" s="17"/>
      <c r="R1367" s="3"/>
      <c r="T1367" s="1"/>
    </row>
    <row r="1368" spans="8:20" x14ac:dyDescent="0.35">
      <c r="H1368" s="7"/>
      <c r="I1368" s="7"/>
      <c r="J1368" s="7"/>
      <c r="L1368" s="27"/>
      <c r="M1368" s="17"/>
      <c r="R1368" s="3"/>
      <c r="T1368" s="1"/>
    </row>
    <row r="1369" spans="8:20" x14ac:dyDescent="0.35">
      <c r="H1369" s="7"/>
      <c r="I1369" s="7"/>
      <c r="J1369" s="7"/>
      <c r="L1369" s="27"/>
      <c r="M1369" s="17"/>
      <c r="R1369" s="3"/>
      <c r="T1369" s="1"/>
    </row>
    <row r="1370" spans="8:20" x14ac:dyDescent="0.35">
      <c r="H1370" s="7"/>
      <c r="I1370" s="7"/>
      <c r="J1370" s="7"/>
      <c r="L1370" s="27"/>
      <c r="M1370" s="17"/>
      <c r="R1370" s="3"/>
      <c r="T1370" s="1"/>
    </row>
    <row r="1371" spans="8:20" x14ac:dyDescent="0.35">
      <c r="H1371" s="7"/>
      <c r="I1371" s="7"/>
      <c r="J1371" s="7"/>
      <c r="L1371" s="27"/>
      <c r="M1371" s="17"/>
      <c r="R1371" s="3"/>
      <c r="T1371" s="1"/>
    </row>
    <row r="1372" spans="8:20" x14ac:dyDescent="0.35">
      <c r="H1372" s="7"/>
      <c r="I1372" s="7"/>
      <c r="J1372" s="7"/>
      <c r="L1372" s="27"/>
      <c r="M1372" s="17"/>
      <c r="R1372" s="3"/>
      <c r="T1372" s="1"/>
    </row>
    <row r="1373" spans="8:20" x14ac:dyDescent="0.35">
      <c r="H1373" s="7"/>
      <c r="I1373" s="7"/>
      <c r="J1373" s="7"/>
      <c r="L1373" s="28"/>
      <c r="M1373" s="17"/>
      <c r="R1373" s="3"/>
      <c r="T1373" s="1"/>
    </row>
    <row r="1374" spans="8:20" x14ac:dyDescent="0.35">
      <c r="H1374" s="7"/>
      <c r="I1374" s="7"/>
      <c r="J1374" s="7"/>
      <c r="L1374" s="27"/>
      <c r="M1374" s="17"/>
      <c r="R1374" s="3"/>
      <c r="T1374" s="1"/>
    </row>
    <row r="1375" spans="8:20" x14ac:dyDescent="0.35">
      <c r="H1375" s="7"/>
      <c r="I1375" s="7"/>
      <c r="J1375" s="7"/>
      <c r="L1375" s="27"/>
      <c r="M1375" s="17"/>
      <c r="R1375" s="3"/>
      <c r="T1375" s="1"/>
    </row>
    <row r="1376" spans="8:20" x14ac:dyDescent="0.35">
      <c r="H1376" s="7"/>
      <c r="I1376" s="7"/>
      <c r="J1376" s="7"/>
      <c r="L1376" s="27"/>
      <c r="M1376" s="17"/>
      <c r="R1376" s="3"/>
      <c r="T1376" s="1"/>
    </row>
    <row r="1377" spans="8:20" x14ac:dyDescent="0.35">
      <c r="H1377" s="7"/>
      <c r="I1377" s="7"/>
      <c r="J1377" s="7"/>
      <c r="L1377" s="27"/>
      <c r="M1377" s="17"/>
      <c r="R1377" s="3"/>
      <c r="T1377" s="1"/>
    </row>
    <row r="1378" spans="8:20" x14ac:dyDescent="0.35">
      <c r="H1378" s="7"/>
      <c r="I1378" s="7"/>
      <c r="J1378" s="7"/>
      <c r="L1378" s="27"/>
      <c r="M1378" s="17"/>
      <c r="R1378" s="3"/>
      <c r="T1378" s="1"/>
    </row>
    <row r="1379" spans="8:20" x14ac:dyDescent="0.35">
      <c r="H1379" s="7"/>
      <c r="I1379" s="7"/>
      <c r="J1379" s="7"/>
      <c r="L1379" s="27"/>
      <c r="M1379" s="17"/>
      <c r="R1379" s="3"/>
      <c r="T1379" s="1"/>
    </row>
    <row r="1380" spans="8:20" x14ac:dyDescent="0.35">
      <c r="H1380" s="7"/>
      <c r="I1380" s="7"/>
      <c r="J1380" s="7"/>
      <c r="L1380" s="27"/>
      <c r="M1380" s="17"/>
      <c r="R1380" s="3"/>
      <c r="T1380" s="1"/>
    </row>
    <row r="1381" spans="8:20" x14ac:dyDescent="0.35">
      <c r="H1381" s="7"/>
      <c r="I1381" s="7"/>
      <c r="J1381" s="7"/>
      <c r="L1381" s="27"/>
      <c r="M1381" s="17"/>
      <c r="R1381" s="3"/>
      <c r="T1381" s="1"/>
    </row>
    <row r="1382" spans="8:20" x14ac:dyDescent="0.35">
      <c r="H1382" s="7"/>
      <c r="I1382" s="7"/>
      <c r="J1382" s="7"/>
      <c r="L1382" s="27"/>
      <c r="M1382" s="17"/>
      <c r="R1382" s="3"/>
      <c r="T1382" s="1"/>
    </row>
    <row r="1383" spans="8:20" x14ac:dyDescent="0.35">
      <c r="H1383" s="7"/>
      <c r="I1383" s="7"/>
      <c r="J1383" s="7"/>
      <c r="L1383" s="27"/>
      <c r="M1383" s="17"/>
      <c r="R1383" s="3"/>
      <c r="T1383" s="1"/>
    </row>
    <row r="1384" spans="8:20" x14ac:dyDescent="0.35">
      <c r="H1384" s="7"/>
      <c r="I1384" s="7"/>
      <c r="J1384" s="7"/>
      <c r="L1384" s="27"/>
      <c r="M1384" s="17"/>
      <c r="R1384" s="3"/>
      <c r="T1384" s="1"/>
    </row>
    <row r="1385" spans="8:20" x14ac:dyDescent="0.35">
      <c r="H1385" s="7"/>
      <c r="I1385" s="7"/>
      <c r="J1385" s="7"/>
      <c r="L1385" s="27"/>
      <c r="M1385" s="17"/>
      <c r="R1385" s="3"/>
      <c r="T1385" s="1"/>
    </row>
    <row r="1386" spans="8:20" x14ac:dyDescent="0.35">
      <c r="H1386" s="7"/>
      <c r="I1386" s="7"/>
      <c r="J1386" s="7"/>
      <c r="L1386" s="27"/>
      <c r="M1386" s="17"/>
      <c r="R1386" s="3"/>
      <c r="T1386" s="1"/>
    </row>
    <row r="1387" spans="8:20" x14ac:dyDescent="0.35">
      <c r="H1387" s="7"/>
      <c r="I1387" s="7"/>
      <c r="J1387" s="7"/>
      <c r="L1387" s="27"/>
      <c r="M1387" s="17"/>
      <c r="R1387" s="3"/>
      <c r="T1387" s="1"/>
    </row>
    <row r="1388" spans="8:20" x14ac:dyDescent="0.35">
      <c r="H1388" s="7"/>
      <c r="I1388" s="7"/>
      <c r="J1388" s="7"/>
      <c r="L1388" s="27"/>
      <c r="M1388" s="17"/>
      <c r="R1388" s="3"/>
      <c r="T1388" s="1"/>
    </row>
    <row r="1389" spans="8:20" x14ac:dyDescent="0.35">
      <c r="H1389" s="7"/>
      <c r="I1389" s="7"/>
      <c r="J1389" s="7"/>
      <c r="L1389" s="27"/>
      <c r="M1389" s="17"/>
      <c r="R1389" s="3"/>
      <c r="T1389" s="1"/>
    </row>
    <row r="1390" spans="8:20" x14ac:dyDescent="0.35">
      <c r="H1390" s="7"/>
      <c r="I1390" s="7"/>
      <c r="J1390" s="7"/>
      <c r="L1390" s="27"/>
      <c r="M1390" s="17"/>
      <c r="R1390" s="3"/>
      <c r="T1390" s="1"/>
    </row>
    <row r="1391" spans="8:20" x14ac:dyDescent="0.35">
      <c r="H1391" s="7"/>
      <c r="I1391" s="7"/>
      <c r="J1391" s="7"/>
      <c r="L1391" s="27"/>
      <c r="M1391" s="17"/>
      <c r="R1391" s="3"/>
      <c r="T1391" s="1"/>
    </row>
    <row r="1392" spans="8:20" x14ac:dyDescent="0.35">
      <c r="H1392" s="7"/>
      <c r="I1392" s="7"/>
      <c r="J1392" s="7"/>
      <c r="L1392" s="27"/>
      <c r="M1392" s="17"/>
      <c r="R1392" s="3"/>
      <c r="T1392" s="1"/>
    </row>
    <row r="1393" spans="8:20" x14ac:dyDescent="0.35">
      <c r="H1393" s="7"/>
      <c r="I1393" s="7"/>
      <c r="J1393" s="7"/>
      <c r="L1393" s="27"/>
      <c r="M1393" s="17"/>
      <c r="R1393" s="3"/>
      <c r="T1393" s="1"/>
    </row>
    <row r="1394" spans="8:20" x14ac:dyDescent="0.35">
      <c r="H1394" s="7"/>
      <c r="I1394" s="7"/>
      <c r="J1394" s="7"/>
      <c r="L1394" s="27"/>
      <c r="M1394" s="17"/>
      <c r="R1394" s="3"/>
      <c r="T1394" s="1"/>
    </row>
    <row r="1395" spans="8:20" x14ac:dyDescent="0.35">
      <c r="H1395" s="7"/>
      <c r="I1395" s="7"/>
      <c r="J1395" s="7"/>
      <c r="L1395" s="27"/>
      <c r="M1395" s="17"/>
      <c r="R1395" s="3"/>
      <c r="T1395" s="1"/>
    </row>
    <row r="1396" spans="8:20" x14ac:dyDescent="0.35">
      <c r="H1396" s="7"/>
      <c r="I1396" s="7"/>
      <c r="J1396" s="7"/>
      <c r="L1396" s="27"/>
      <c r="M1396" s="17"/>
      <c r="R1396" s="3"/>
      <c r="T1396" s="1"/>
    </row>
    <row r="1397" spans="8:20" x14ac:dyDescent="0.35">
      <c r="H1397" s="7"/>
      <c r="I1397" s="7"/>
      <c r="J1397" s="7"/>
      <c r="L1397" s="27"/>
      <c r="M1397" s="17"/>
      <c r="R1397" s="3"/>
      <c r="T1397" s="1"/>
    </row>
    <row r="1398" spans="8:20" x14ac:dyDescent="0.35">
      <c r="H1398" s="7"/>
      <c r="I1398" s="7"/>
      <c r="J1398" s="7"/>
      <c r="L1398" s="27"/>
      <c r="M1398" s="17"/>
      <c r="R1398" s="3"/>
      <c r="T1398" s="1"/>
    </row>
    <row r="1399" spans="8:20" x14ac:dyDescent="0.35">
      <c r="H1399" s="7"/>
      <c r="I1399" s="7"/>
      <c r="J1399" s="7"/>
      <c r="L1399" s="27"/>
      <c r="M1399" s="17"/>
      <c r="R1399" s="3"/>
      <c r="T1399" s="1"/>
    </row>
    <row r="1400" spans="8:20" x14ac:dyDescent="0.35">
      <c r="H1400" s="7"/>
      <c r="I1400" s="7"/>
      <c r="J1400" s="7"/>
      <c r="L1400" s="27"/>
      <c r="M1400" s="17"/>
      <c r="R1400" s="3"/>
      <c r="T1400" s="1"/>
    </row>
    <row r="1401" spans="8:20" x14ac:dyDescent="0.35">
      <c r="H1401" s="7"/>
      <c r="I1401" s="7"/>
      <c r="J1401" s="7"/>
      <c r="L1401" s="27"/>
      <c r="M1401" s="17"/>
      <c r="R1401" s="3"/>
      <c r="T1401" s="1"/>
    </row>
    <row r="1402" spans="8:20" x14ac:dyDescent="0.35">
      <c r="H1402" s="7"/>
      <c r="I1402" s="7"/>
      <c r="J1402" s="7"/>
      <c r="L1402" s="27"/>
      <c r="M1402" s="17"/>
      <c r="R1402" s="3"/>
      <c r="T1402" s="1"/>
    </row>
    <row r="1403" spans="8:20" x14ac:dyDescent="0.35">
      <c r="H1403" s="7"/>
      <c r="I1403" s="7"/>
      <c r="J1403" s="7"/>
      <c r="L1403" s="27"/>
      <c r="M1403" s="17"/>
      <c r="R1403" s="3"/>
      <c r="T1403" s="1"/>
    </row>
    <row r="1404" spans="8:20" x14ac:dyDescent="0.35">
      <c r="H1404" s="7"/>
      <c r="I1404" s="7"/>
      <c r="J1404" s="7"/>
      <c r="L1404" s="27"/>
      <c r="M1404" s="17"/>
      <c r="R1404" s="3"/>
      <c r="T1404" s="1"/>
    </row>
    <row r="1405" spans="8:20" x14ac:dyDescent="0.35">
      <c r="H1405" s="7"/>
      <c r="I1405" s="7"/>
      <c r="J1405" s="7"/>
      <c r="L1405" s="27"/>
      <c r="M1405" s="17"/>
      <c r="R1405" s="3"/>
      <c r="T1405" s="1"/>
    </row>
    <row r="1406" spans="8:20" x14ac:dyDescent="0.35">
      <c r="H1406" s="7"/>
      <c r="I1406" s="7"/>
      <c r="J1406" s="7"/>
      <c r="L1406" s="27"/>
      <c r="M1406" s="17"/>
      <c r="R1406" s="3"/>
      <c r="T1406" s="1"/>
    </row>
    <row r="1407" spans="8:20" x14ac:dyDescent="0.35">
      <c r="H1407" s="7"/>
      <c r="I1407" s="7"/>
      <c r="J1407" s="7"/>
      <c r="L1407" s="27"/>
      <c r="M1407" s="17"/>
      <c r="R1407" s="3"/>
      <c r="T1407" s="1"/>
    </row>
    <row r="1408" spans="8:20" x14ac:dyDescent="0.35">
      <c r="H1408" s="7"/>
      <c r="I1408" s="7"/>
      <c r="J1408" s="7"/>
      <c r="L1408" s="27"/>
      <c r="M1408" s="17"/>
      <c r="R1408" s="3"/>
      <c r="T1408" s="1"/>
    </row>
    <row r="1409" spans="8:20" x14ac:dyDescent="0.35">
      <c r="H1409" s="7"/>
      <c r="I1409" s="7"/>
      <c r="J1409" s="7"/>
      <c r="L1409" s="27"/>
      <c r="M1409" s="17"/>
      <c r="R1409" s="3"/>
      <c r="T1409" s="1"/>
    </row>
    <row r="1410" spans="8:20" x14ac:dyDescent="0.35">
      <c r="H1410" s="7"/>
      <c r="I1410" s="7"/>
      <c r="J1410" s="7"/>
      <c r="L1410" s="27"/>
      <c r="M1410" s="17"/>
      <c r="R1410" s="3"/>
      <c r="T1410" s="1"/>
    </row>
    <row r="1411" spans="8:20" x14ac:dyDescent="0.35">
      <c r="H1411" s="7"/>
      <c r="I1411" s="7"/>
      <c r="J1411" s="7"/>
      <c r="L1411" s="27"/>
      <c r="M1411" s="17"/>
      <c r="R1411" s="3"/>
      <c r="T1411" s="1"/>
    </row>
    <row r="1412" spans="8:20" x14ac:dyDescent="0.35">
      <c r="H1412" s="7"/>
      <c r="I1412" s="7"/>
      <c r="J1412" s="7"/>
      <c r="L1412" s="27"/>
      <c r="M1412" s="17"/>
      <c r="R1412" s="3"/>
      <c r="T1412" s="1"/>
    </row>
    <row r="1413" spans="8:20" x14ac:dyDescent="0.35">
      <c r="H1413" s="7"/>
      <c r="I1413" s="7"/>
      <c r="J1413" s="7"/>
      <c r="L1413" s="27"/>
      <c r="M1413" s="17"/>
      <c r="R1413" s="3"/>
      <c r="T1413" s="1"/>
    </row>
    <row r="1414" spans="8:20" x14ac:dyDescent="0.35">
      <c r="H1414" s="7"/>
      <c r="I1414" s="7"/>
      <c r="J1414" s="7"/>
      <c r="L1414" s="27"/>
      <c r="M1414" s="17"/>
      <c r="R1414" s="3"/>
      <c r="T1414" s="1"/>
    </row>
    <row r="1415" spans="8:20" x14ac:dyDescent="0.35">
      <c r="H1415" s="7"/>
      <c r="I1415" s="7"/>
      <c r="J1415" s="7"/>
      <c r="L1415" s="27"/>
      <c r="M1415" s="17"/>
      <c r="R1415" s="3"/>
      <c r="T1415" s="1"/>
    </row>
    <row r="1416" spans="8:20" x14ac:dyDescent="0.35">
      <c r="H1416" s="7"/>
      <c r="I1416" s="7"/>
      <c r="J1416" s="7"/>
      <c r="L1416" s="27"/>
      <c r="M1416" s="17"/>
      <c r="R1416" s="3"/>
      <c r="T1416" s="1"/>
    </row>
    <row r="1417" spans="8:20" x14ac:dyDescent="0.35">
      <c r="H1417" s="7"/>
      <c r="I1417" s="7"/>
      <c r="J1417" s="7"/>
      <c r="L1417" s="27"/>
      <c r="M1417" s="17"/>
      <c r="R1417" s="3"/>
      <c r="T1417" s="1"/>
    </row>
    <row r="1418" spans="8:20" x14ac:dyDescent="0.35">
      <c r="H1418" s="7"/>
      <c r="I1418" s="7"/>
      <c r="J1418" s="7"/>
      <c r="L1418" s="27"/>
      <c r="M1418" s="17"/>
      <c r="R1418" s="3"/>
      <c r="T1418" s="1"/>
    </row>
    <row r="1419" spans="8:20" x14ac:dyDescent="0.35">
      <c r="H1419" s="7"/>
      <c r="I1419" s="7"/>
      <c r="J1419" s="7"/>
      <c r="L1419" s="27"/>
      <c r="M1419" s="17"/>
      <c r="R1419" s="3"/>
      <c r="T1419" s="1"/>
    </row>
    <row r="1420" spans="8:20" x14ac:dyDescent="0.35">
      <c r="H1420" s="7"/>
      <c r="I1420" s="7"/>
      <c r="J1420" s="7"/>
      <c r="L1420" s="27"/>
      <c r="M1420" s="17"/>
      <c r="R1420" s="3"/>
      <c r="T1420" s="1"/>
    </row>
    <row r="1421" spans="8:20" x14ac:dyDescent="0.35">
      <c r="H1421" s="7"/>
      <c r="I1421" s="7"/>
      <c r="J1421" s="7"/>
      <c r="L1421" s="27"/>
      <c r="M1421" s="17"/>
      <c r="R1421" s="3"/>
      <c r="T1421" s="1"/>
    </row>
    <row r="1422" spans="8:20" x14ac:dyDescent="0.35">
      <c r="H1422" s="7"/>
      <c r="I1422" s="7"/>
      <c r="J1422" s="7"/>
      <c r="L1422" s="27"/>
      <c r="M1422" s="17"/>
      <c r="R1422" s="3"/>
      <c r="T1422" s="1"/>
    </row>
    <row r="1423" spans="8:20" x14ac:dyDescent="0.35">
      <c r="H1423" s="7"/>
      <c r="I1423" s="7"/>
      <c r="J1423" s="7"/>
      <c r="L1423" s="27"/>
      <c r="M1423" s="17"/>
      <c r="R1423" s="3"/>
      <c r="T1423" s="1"/>
    </row>
    <row r="1424" spans="8:20" x14ac:dyDescent="0.35">
      <c r="H1424" s="7"/>
      <c r="I1424" s="7"/>
      <c r="J1424" s="7"/>
      <c r="L1424" s="27"/>
      <c r="M1424" s="17"/>
      <c r="R1424" s="3"/>
      <c r="T1424" s="1"/>
    </row>
    <row r="1425" spans="8:20" x14ac:dyDescent="0.35">
      <c r="H1425" s="7"/>
      <c r="I1425" s="7"/>
      <c r="J1425" s="7"/>
      <c r="L1425" s="27"/>
      <c r="M1425" s="17"/>
      <c r="R1425" s="3"/>
      <c r="T1425" s="1"/>
    </row>
    <row r="1426" spans="8:20" x14ac:dyDescent="0.35">
      <c r="H1426" s="7"/>
      <c r="I1426" s="7"/>
      <c r="J1426" s="7"/>
      <c r="L1426" s="27"/>
      <c r="M1426" s="17"/>
      <c r="R1426" s="3"/>
      <c r="T1426" s="1"/>
    </row>
    <row r="1427" spans="8:20" x14ac:dyDescent="0.35">
      <c r="H1427" s="7"/>
      <c r="I1427" s="7"/>
      <c r="J1427" s="7"/>
      <c r="L1427" s="27"/>
      <c r="M1427" s="17"/>
      <c r="R1427" s="3"/>
      <c r="T1427" s="1"/>
    </row>
    <row r="1428" spans="8:20" x14ac:dyDescent="0.35">
      <c r="H1428" s="7"/>
      <c r="I1428" s="7"/>
      <c r="J1428" s="7"/>
      <c r="L1428" s="27"/>
      <c r="M1428" s="17"/>
      <c r="R1428" s="3"/>
      <c r="T1428" s="1"/>
    </row>
    <row r="1429" spans="8:20" x14ac:dyDescent="0.35">
      <c r="H1429" s="7"/>
      <c r="I1429" s="7"/>
      <c r="J1429" s="7"/>
      <c r="L1429" s="27"/>
      <c r="M1429" s="17"/>
      <c r="R1429" s="3"/>
      <c r="T1429" s="1"/>
    </row>
    <row r="1430" spans="8:20" x14ac:dyDescent="0.35">
      <c r="H1430" s="7"/>
      <c r="I1430" s="7"/>
      <c r="J1430" s="7"/>
      <c r="L1430" s="27"/>
      <c r="M1430" s="17"/>
      <c r="R1430" s="3"/>
      <c r="T1430" s="1"/>
    </row>
    <row r="1431" spans="8:20" x14ac:dyDescent="0.35">
      <c r="H1431" s="7"/>
      <c r="I1431" s="7"/>
      <c r="J1431" s="7"/>
      <c r="L1431" s="27"/>
      <c r="M1431" s="17"/>
      <c r="R1431" s="3"/>
      <c r="T1431" s="1"/>
    </row>
    <row r="1432" spans="8:20" x14ac:dyDescent="0.35">
      <c r="H1432" s="7"/>
      <c r="I1432" s="7"/>
      <c r="J1432" s="7"/>
      <c r="L1432" s="27"/>
      <c r="M1432" s="17"/>
      <c r="R1432" s="3"/>
      <c r="T1432" s="1"/>
    </row>
    <row r="1433" spans="8:20" x14ac:dyDescent="0.35">
      <c r="H1433" s="7"/>
      <c r="I1433" s="7"/>
      <c r="J1433" s="7"/>
      <c r="L1433" s="27"/>
      <c r="M1433" s="17"/>
      <c r="R1433" s="3"/>
      <c r="T1433" s="1"/>
    </row>
    <row r="1434" spans="8:20" x14ac:dyDescent="0.35">
      <c r="H1434" s="7"/>
      <c r="I1434" s="7"/>
      <c r="J1434" s="7"/>
      <c r="L1434" s="27"/>
      <c r="M1434" s="17"/>
      <c r="R1434" s="3"/>
      <c r="T1434" s="1"/>
    </row>
    <row r="1435" spans="8:20" x14ac:dyDescent="0.35">
      <c r="H1435" s="7"/>
      <c r="I1435" s="7"/>
      <c r="J1435" s="7"/>
      <c r="L1435" s="27"/>
      <c r="M1435" s="17"/>
      <c r="R1435" s="3"/>
      <c r="T1435" s="1"/>
    </row>
    <row r="1436" spans="8:20" x14ac:dyDescent="0.35">
      <c r="H1436" s="7"/>
      <c r="I1436" s="7"/>
      <c r="J1436" s="7"/>
      <c r="L1436" s="27"/>
      <c r="M1436" s="17"/>
      <c r="R1436" s="3"/>
      <c r="T1436" s="1"/>
    </row>
    <row r="1437" spans="8:20" x14ac:dyDescent="0.35">
      <c r="H1437" s="7"/>
      <c r="I1437" s="7"/>
      <c r="J1437" s="7"/>
      <c r="L1437" s="28"/>
      <c r="M1437" s="17"/>
      <c r="R1437" s="3"/>
      <c r="T1437" s="1"/>
    </row>
    <row r="1438" spans="8:20" x14ac:dyDescent="0.35">
      <c r="H1438" s="7"/>
      <c r="I1438" s="7"/>
      <c r="J1438" s="7"/>
      <c r="L1438" s="27"/>
      <c r="M1438" s="17"/>
      <c r="R1438" s="3"/>
      <c r="T1438" s="1"/>
    </row>
    <row r="1439" spans="8:20" x14ac:dyDescent="0.35">
      <c r="H1439" s="7"/>
      <c r="I1439" s="7"/>
      <c r="J1439" s="7"/>
      <c r="L1439" s="27"/>
      <c r="M1439" s="17"/>
      <c r="R1439" s="3"/>
      <c r="T1439" s="1"/>
    </row>
    <row r="1440" spans="8:20" x14ac:dyDescent="0.35">
      <c r="H1440" s="7"/>
      <c r="I1440" s="7"/>
      <c r="J1440" s="7"/>
      <c r="L1440" s="27"/>
      <c r="M1440" s="17"/>
      <c r="R1440" s="3"/>
      <c r="T1440" s="1"/>
    </row>
    <row r="1441" spans="8:20" x14ac:dyDescent="0.35">
      <c r="H1441" s="7"/>
      <c r="I1441" s="7"/>
      <c r="J1441" s="7"/>
      <c r="L1441" s="27"/>
      <c r="M1441" s="17"/>
      <c r="R1441" s="3"/>
      <c r="T1441" s="1"/>
    </row>
    <row r="1442" spans="8:20" x14ac:dyDescent="0.35">
      <c r="H1442" s="7"/>
      <c r="I1442" s="7"/>
      <c r="J1442" s="7"/>
      <c r="L1442" s="27"/>
      <c r="M1442" s="17"/>
      <c r="R1442" s="3"/>
      <c r="T1442" s="1"/>
    </row>
    <row r="1443" spans="8:20" x14ac:dyDescent="0.35">
      <c r="H1443" s="7"/>
      <c r="I1443" s="7"/>
      <c r="J1443" s="7"/>
      <c r="L1443" s="27"/>
      <c r="M1443" s="17"/>
      <c r="R1443" s="3"/>
      <c r="T1443" s="1"/>
    </row>
    <row r="1444" spans="8:20" x14ac:dyDescent="0.35">
      <c r="H1444" s="7"/>
      <c r="I1444" s="7"/>
      <c r="J1444" s="7"/>
      <c r="L1444" s="27"/>
      <c r="M1444" s="17"/>
      <c r="R1444" s="3"/>
      <c r="T1444" s="1"/>
    </row>
    <row r="1445" spans="8:20" x14ac:dyDescent="0.35">
      <c r="H1445" s="7"/>
      <c r="I1445" s="7"/>
      <c r="J1445" s="7"/>
      <c r="L1445" s="27"/>
      <c r="M1445" s="17"/>
      <c r="R1445" s="3"/>
      <c r="T1445" s="1"/>
    </row>
    <row r="1446" spans="8:20" x14ac:dyDescent="0.35">
      <c r="H1446" s="7"/>
      <c r="I1446" s="7"/>
      <c r="J1446" s="7"/>
      <c r="L1446" s="27"/>
      <c r="M1446" s="17"/>
      <c r="R1446" s="3"/>
      <c r="T1446" s="1"/>
    </row>
    <row r="1447" spans="8:20" x14ac:dyDescent="0.35">
      <c r="H1447" s="7"/>
      <c r="I1447" s="7"/>
      <c r="J1447" s="7"/>
      <c r="L1447" s="27"/>
      <c r="M1447" s="17"/>
      <c r="R1447" s="3"/>
      <c r="T1447" s="1"/>
    </row>
    <row r="1448" spans="8:20" x14ac:dyDescent="0.35">
      <c r="H1448" s="7"/>
      <c r="I1448" s="7"/>
      <c r="J1448" s="7"/>
      <c r="L1448" s="27"/>
      <c r="M1448" s="17"/>
      <c r="R1448" s="3"/>
      <c r="T1448" s="1"/>
    </row>
    <row r="1449" spans="8:20" x14ac:dyDescent="0.35">
      <c r="H1449" s="7"/>
      <c r="I1449" s="7"/>
      <c r="J1449" s="7"/>
      <c r="L1449" s="27"/>
      <c r="M1449" s="17"/>
      <c r="R1449" s="3"/>
      <c r="T1449" s="1"/>
    </row>
    <row r="1450" spans="8:20" x14ac:dyDescent="0.35">
      <c r="H1450" s="7"/>
      <c r="I1450" s="7"/>
      <c r="J1450" s="7"/>
      <c r="L1450" s="27"/>
      <c r="M1450" s="17"/>
      <c r="R1450" s="3"/>
      <c r="T1450" s="1"/>
    </row>
    <row r="1451" spans="8:20" x14ac:dyDescent="0.35">
      <c r="H1451" s="7"/>
      <c r="I1451" s="7"/>
      <c r="J1451" s="7"/>
      <c r="L1451" s="27"/>
      <c r="M1451" s="17"/>
      <c r="R1451" s="3"/>
      <c r="T1451" s="1"/>
    </row>
    <row r="1452" spans="8:20" x14ac:dyDescent="0.35">
      <c r="H1452" s="7"/>
      <c r="I1452" s="7"/>
      <c r="J1452" s="7"/>
      <c r="L1452" s="27"/>
      <c r="M1452" s="17"/>
      <c r="R1452" s="3"/>
      <c r="T1452" s="1"/>
    </row>
    <row r="1453" spans="8:20" x14ac:dyDescent="0.35">
      <c r="H1453" s="7"/>
      <c r="I1453" s="7"/>
      <c r="J1453" s="7"/>
      <c r="L1453" s="27"/>
      <c r="M1453" s="17"/>
      <c r="R1453" s="3"/>
      <c r="T1453" s="1"/>
    </row>
    <row r="1454" spans="8:20" x14ac:dyDescent="0.35">
      <c r="H1454" s="7"/>
      <c r="I1454" s="7"/>
      <c r="J1454" s="7"/>
      <c r="L1454" s="27"/>
      <c r="M1454" s="17"/>
      <c r="R1454" s="3"/>
      <c r="T1454" s="1"/>
    </row>
    <row r="1455" spans="8:20" x14ac:dyDescent="0.35">
      <c r="H1455" s="7"/>
      <c r="I1455" s="7"/>
      <c r="J1455" s="7"/>
      <c r="L1455" s="27"/>
      <c r="M1455" s="17"/>
      <c r="R1455" s="3"/>
      <c r="T1455" s="1"/>
    </row>
    <row r="1456" spans="8:20" x14ac:dyDescent="0.35">
      <c r="H1456" s="7"/>
      <c r="I1456" s="7"/>
      <c r="J1456" s="7"/>
      <c r="L1456" s="27"/>
      <c r="M1456" s="17"/>
      <c r="R1456" s="3"/>
      <c r="T1456" s="1"/>
    </row>
    <row r="1457" spans="8:20" x14ac:dyDescent="0.35">
      <c r="H1457" s="7"/>
      <c r="I1457" s="7"/>
      <c r="J1457" s="7"/>
      <c r="L1457" s="27"/>
      <c r="M1457" s="17"/>
      <c r="R1457" s="3"/>
      <c r="T1457" s="1"/>
    </row>
    <row r="1458" spans="8:20" x14ac:dyDescent="0.35">
      <c r="H1458" s="7"/>
      <c r="I1458" s="7"/>
      <c r="J1458" s="7"/>
      <c r="L1458" s="27"/>
      <c r="M1458" s="17"/>
      <c r="R1458" s="3"/>
      <c r="T1458" s="1"/>
    </row>
    <row r="1459" spans="8:20" x14ac:dyDescent="0.35">
      <c r="H1459" s="7"/>
      <c r="I1459" s="7"/>
      <c r="J1459" s="7"/>
      <c r="L1459" s="27"/>
      <c r="M1459" s="17"/>
      <c r="R1459" s="3"/>
      <c r="T1459" s="1"/>
    </row>
    <row r="1460" spans="8:20" x14ac:dyDescent="0.35">
      <c r="H1460" s="7"/>
      <c r="I1460" s="7"/>
      <c r="J1460" s="7"/>
      <c r="L1460" s="27"/>
      <c r="M1460" s="17"/>
      <c r="R1460" s="3"/>
      <c r="T1460" s="1"/>
    </row>
    <row r="1461" spans="8:20" x14ac:dyDescent="0.35">
      <c r="H1461" s="7"/>
      <c r="I1461" s="7"/>
      <c r="J1461" s="7"/>
      <c r="L1461" s="27"/>
      <c r="M1461" s="17"/>
      <c r="R1461" s="3"/>
      <c r="T1461" s="1"/>
    </row>
    <row r="1462" spans="8:20" x14ac:dyDescent="0.35">
      <c r="H1462" s="7"/>
      <c r="I1462" s="7"/>
      <c r="J1462" s="7"/>
      <c r="L1462" s="27"/>
      <c r="M1462" s="17"/>
      <c r="R1462" s="3"/>
      <c r="T1462" s="1"/>
    </row>
    <row r="1463" spans="8:20" x14ac:dyDescent="0.35">
      <c r="H1463" s="7"/>
      <c r="I1463" s="7"/>
      <c r="J1463" s="7"/>
      <c r="L1463" s="27"/>
      <c r="M1463" s="17"/>
      <c r="R1463" s="3"/>
      <c r="T1463" s="1"/>
    </row>
    <row r="1464" spans="8:20" x14ac:dyDescent="0.35">
      <c r="H1464" s="7"/>
      <c r="I1464" s="7"/>
      <c r="J1464" s="7"/>
      <c r="L1464" s="27"/>
      <c r="M1464" s="17"/>
      <c r="R1464" s="3"/>
      <c r="T1464" s="1"/>
    </row>
    <row r="1465" spans="8:20" x14ac:dyDescent="0.35">
      <c r="H1465" s="7"/>
      <c r="I1465" s="7"/>
      <c r="J1465" s="7"/>
      <c r="L1465" s="27"/>
      <c r="M1465" s="17"/>
      <c r="R1465" s="3"/>
      <c r="T1465" s="1"/>
    </row>
    <row r="1466" spans="8:20" x14ac:dyDescent="0.35">
      <c r="H1466" s="7"/>
      <c r="I1466" s="7"/>
      <c r="J1466" s="7"/>
      <c r="L1466" s="27"/>
      <c r="M1466" s="17"/>
      <c r="R1466" s="3"/>
      <c r="T1466" s="1"/>
    </row>
    <row r="1467" spans="8:20" x14ac:dyDescent="0.35">
      <c r="H1467" s="7"/>
      <c r="I1467" s="7"/>
      <c r="J1467" s="7"/>
      <c r="L1467" s="27"/>
      <c r="M1467" s="17"/>
      <c r="R1467" s="3"/>
      <c r="T1467" s="1"/>
    </row>
    <row r="1468" spans="8:20" x14ac:dyDescent="0.35">
      <c r="H1468" s="7"/>
      <c r="I1468" s="7"/>
      <c r="J1468" s="7"/>
      <c r="L1468" s="27"/>
      <c r="M1468" s="17"/>
      <c r="R1468" s="3"/>
      <c r="T1468" s="1"/>
    </row>
    <row r="1469" spans="8:20" x14ac:dyDescent="0.35">
      <c r="H1469" s="7"/>
      <c r="I1469" s="7"/>
      <c r="J1469" s="7"/>
      <c r="L1469" s="27"/>
      <c r="M1469" s="17"/>
      <c r="R1469" s="3"/>
      <c r="T1469" s="1"/>
    </row>
    <row r="1470" spans="8:20" x14ac:dyDescent="0.35">
      <c r="H1470" s="7"/>
      <c r="I1470" s="7"/>
      <c r="J1470" s="7"/>
      <c r="L1470" s="27"/>
      <c r="M1470" s="17"/>
      <c r="R1470" s="3"/>
      <c r="T1470" s="1"/>
    </row>
    <row r="1471" spans="8:20" x14ac:dyDescent="0.35">
      <c r="H1471" s="7"/>
      <c r="I1471" s="7"/>
      <c r="J1471" s="7"/>
      <c r="L1471" s="27"/>
      <c r="M1471" s="17"/>
      <c r="R1471" s="3"/>
      <c r="T1471" s="1"/>
    </row>
    <row r="1472" spans="8:20" x14ac:dyDescent="0.35">
      <c r="H1472" s="7"/>
      <c r="I1472" s="7"/>
      <c r="J1472" s="7"/>
      <c r="L1472" s="27"/>
      <c r="M1472" s="17"/>
      <c r="R1472" s="3"/>
      <c r="T1472" s="1"/>
    </row>
    <row r="1473" spans="8:20" x14ac:dyDescent="0.35">
      <c r="H1473" s="7"/>
      <c r="I1473" s="7"/>
      <c r="J1473" s="7"/>
      <c r="L1473" s="27"/>
      <c r="M1473" s="17"/>
      <c r="R1473" s="3"/>
      <c r="T1473" s="1"/>
    </row>
    <row r="1474" spans="8:20" x14ac:dyDescent="0.35">
      <c r="H1474" s="7"/>
      <c r="I1474" s="7"/>
      <c r="J1474" s="7"/>
      <c r="L1474" s="27"/>
      <c r="M1474" s="17"/>
      <c r="R1474" s="3"/>
      <c r="T1474" s="1"/>
    </row>
    <row r="1475" spans="8:20" x14ac:dyDescent="0.35">
      <c r="H1475" s="7"/>
      <c r="I1475" s="7"/>
      <c r="J1475" s="7"/>
      <c r="L1475" s="27"/>
      <c r="M1475" s="17"/>
      <c r="R1475" s="3"/>
      <c r="T1475" s="1"/>
    </row>
    <row r="1476" spans="8:20" x14ac:dyDescent="0.35">
      <c r="H1476" s="7"/>
      <c r="I1476" s="7"/>
      <c r="J1476" s="7"/>
      <c r="L1476" s="27"/>
      <c r="M1476" s="17"/>
      <c r="R1476" s="3"/>
      <c r="T1476" s="1"/>
    </row>
    <row r="1477" spans="8:20" x14ac:dyDescent="0.35">
      <c r="H1477" s="7"/>
      <c r="I1477" s="7"/>
      <c r="J1477" s="7"/>
      <c r="L1477" s="27"/>
      <c r="M1477" s="17"/>
      <c r="R1477" s="3"/>
      <c r="T1477" s="1"/>
    </row>
    <row r="1478" spans="8:20" x14ac:dyDescent="0.35">
      <c r="H1478" s="7"/>
      <c r="I1478" s="7"/>
      <c r="J1478" s="7"/>
      <c r="L1478" s="27"/>
      <c r="M1478" s="17"/>
      <c r="R1478" s="3"/>
      <c r="T1478" s="1"/>
    </row>
    <row r="1479" spans="8:20" x14ac:dyDescent="0.35">
      <c r="H1479" s="7"/>
      <c r="I1479" s="7"/>
      <c r="J1479" s="7"/>
      <c r="L1479" s="27"/>
      <c r="M1479" s="17"/>
      <c r="R1479" s="3"/>
      <c r="T1479" s="1"/>
    </row>
    <row r="1480" spans="8:20" x14ac:dyDescent="0.35">
      <c r="H1480" s="7"/>
      <c r="I1480" s="7"/>
      <c r="J1480" s="7"/>
      <c r="L1480" s="27"/>
      <c r="M1480" s="17"/>
      <c r="R1480" s="3"/>
      <c r="T1480" s="1"/>
    </row>
    <row r="1481" spans="8:20" x14ac:dyDescent="0.35">
      <c r="H1481" s="7"/>
      <c r="I1481" s="7"/>
      <c r="J1481" s="7"/>
      <c r="L1481" s="27"/>
      <c r="M1481" s="17"/>
      <c r="R1481" s="3"/>
      <c r="T1481" s="1"/>
    </row>
    <row r="1482" spans="8:20" x14ac:dyDescent="0.35">
      <c r="H1482" s="7"/>
      <c r="I1482" s="7"/>
      <c r="J1482" s="7"/>
      <c r="L1482" s="27"/>
      <c r="M1482" s="17"/>
      <c r="R1482" s="3"/>
      <c r="T1482" s="1"/>
    </row>
    <row r="1483" spans="8:20" x14ac:dyDescent="0.35">
      <c r="H1483" s="7"/>
      <c r="I1483" s="7"/>
      <c r="J1483" s="7"/>
      <c r="L1483" s="27"/>
      <c r="M1483" s="17"/>
      <c r="R1483" s="3"/>
      <c r="T1483" s="1"/>
    </row>
    <row r="1484" spans="8:20" x14ac:dyDescent="0.35">
      <c r="H1484" s="7"/>
      <c r="I1484" s="7"/>
      <c r="J1484" s="7"/>
      <c r="L1484" s="27"/>
      <c r="M1484" s="17"/>
      <c r="R1484" s="3"/>
      <c r="T1484" s="1"/>
    </row>
    <row r="1485" spans="8:20" x14ac:dyDescent="0.35">
      <c r="H1485" s="7"/>
      <c r="I1485" s="7"/>
      <c r="J1485" s="7"/>
      <c r="L1485" s="27"/>
      <c r="M1485" s="17"/>
      <c r="R1485" s="3"/>
      <c r="T1485" s="1"/>
    </row>
    <row r="1486" spans="8:20" x14ac:dyDescent="0.35">
      <c r="H1486" s="7"/>
      <c r="I1486" s="7"/>
      <c r="J1486" s="7"/>
      <c r="L1486" s="27"/>
      <c r="M1486" s="17"/>
      <c r="R1486" s="3"/>
      <c r="T1486" s="1"/>
    </row>
    <row r="1487" spans="8:20" x14ac:dyDescent="0.35">
      <c r="H1487" s="7"/>
      <c r="I1487" s="7"/>
      <c r="J1487" s="7"/>
      <c r="L1487" s="27"/>
      <c r="M1487" s="17"/>
      <c r="R1487" s="3"/>
      <c r="T1487" s="1"/>
    </row>
    <row r="1488" spans="8:20" x14ac:dyDescent="0.35">
      <c r="H1488" s="7"/>
      <c r="I1488" s="7"/>
      <c r="J1488" s="7"/>
      <c r="L1488" s="27"/>
      <c r="M1488" s="17"/>
      <c r="R1488" s="3"/>
      <c r="T1488" s="1"/>
    </row>
    <row r="1489" spans="8:20" x14ac:dyDescent="0.35">
      <c r="H1489" s="7"/>
      <c r="I1489" s="7"/>
      <c r="J1489" s="7"/>
      <c r="L1489" s="27"/>
      <c r="M1489" s="17"/>
      <c r="R1489" s="3"/>
      <c r="T1489" s="1"/>
    </row>
    <row r="1490" spans="8:20" x14ac:dyDescent="0.35">
      <c r="H1490" s="7"/>
      <c r="I1490" s="7"/>
      <c r="J1490" s="7"/>
      <c r="L1490" s="27"/>
      <c r="M1490" s="17"/>
      <c r="R1490" s="3"/>
      <c r="T1490" s="1"/>
    </row>
    <row r="1491" spans="8:20" x14ac:dyDescent="0.35">
      <c r="H1491" s="7"/>
      <c r="I1491" s="7"/>
      <c r="J1491" s="7"/>
      <c r="L1491" s="27"/>
      <c r="M1491" s="17"/>
      <c r="R1491" s="3"/>
      <c r="T1491" s="1"/>
    </row>
    <row r="1492" spans="8:20" x14ac:dyDescent="0.35">
      <c r="H1492" s="7"/>
      <c r="I1492" s="7"/>
      <c r="J1492" s="7"/>
      <c r="L1492" s="27"/>
      <c r="M1492" s="17"/>
      <c r="R1492" s="3"/>
      <c r="T1492" s="1"/>
    </row>
    <row r="1493" spans="8:20" x14ac:dyDescent="0.35">
      <c r="H1493" s="7"/>
      <c r="I1493" s="7"/>
      <c r="J1493" s="7"/>
      <c r="L1493" s="27"/>
      <c r="M1493" s="17"/>
      <c r="R1493" s="3"/>
      <c r="T1493" s="1"/>
    </row>
    <row r="1494" spans="8:20" x14ac:dyDescent="0.35">
      <c r="H1494" s="7"/>
      <c r="I1494" s="7"/>
      <c r="J1494" s="7"/>
      <c r="L1494" s="27"/>
      <c r="M1494" s="17"/>
      <c r="R1494" s="3"/>
      <c r="T1494" s="1"/>
    </row>
    <row r="1495" spans="8:20" x14ac:dyDescent="0.35">
      <c r="H1495" s="7"/>
      <c r="I1495" s="7"/>
      <c r="J1495" s="7"/>
      <c r="L1495" s="27"/>
      <c r="M1495" s="17"/>
      <c r="R1495" s="3"/>
      <c r="T1495" s="1"/>
    </row>
    <row r="1496" spans="8:20" x14ac:dyDescent="0.35">
      <c r="H1496" s="7"/>
      <c r="I1496" s="7"/>
      <c r="J1496" s="7"/>
      <c r="L1496" s="27"/>
      <c r="M1496" s="17"/>
      <c r="R1496" s="3"/>
      <c r="T1496" s="1"/>
    </row>
    <row r="1497" spans="8:20" x14ac:dyDescent="0.35">
      <c r="H1497" s="7"/>
      <c r="I1497" s="7"/>
      <c r="J1497" s="7"/>
      <c r="L1497" s="27"/>
      <c r="M1497" s="17"/>
      <c r="R1497" s="3"/>
      <c r="T1497" s="1"/>
    </row>
    <row r="1498" spans="8:20" x14ac:dyDescent="0.35">
      <c r="H1498" s="7"/>
      <c r="I1498" s="7"/>
      <c r="J1498" s="7"/>
      <c r="L1498" s="27"/>
      <c r="M1498" s="17"/>
      <c r="R1498" s="3"/>
      <c r="T1498" s="1"/>
    </row>
    <row r="1499" spans="8:20" x14ac:dyDescent="0.35">
      <c r="H1499" s="7"/>
      <c r="I1499" s="7"/>
      <c r="J1499" s="7"/>
      <c r="L1499" s="27"/>
      <c r="M1499" s="17"/>
      <c r="R1499" s="3"/>
      <c r="T1499" s="1"/>
    </row>
    <row r="1500" spans="8:20" x14ac:dyDescent="0.35">
      <c r="H1500" s="7"/>
      <c r="I1500" s="7"/>
      <c r="J1500" s="7"/>
      <c r="L1500" s="27"/>
      <c r="M1500" s="17"/>
      <c r="R1500" s="3"/>
      <c r="T1500" s="1"/>
    </row>
    <row r="1501" spans="8:20" x14ac:dyDescent="0.35">
      <c r="H1501" s="7"/>
      <c r="I1501" s="7"/>
      <c r="J1501" s="7"/>
      <c r="L1501" s="27"/>
      <c r="M1501" s="17"/>
      <c r="R1501" s="3"/>
      <c r="T1501" s="1"/>
    </row>
    <row r="1502" spans="8:20" x14ac:dyDescent="0.35">
      <c r="H1502" s="7"/>
      <c r="I1502" s="7"/>
      <c r="J1502" s="7"/>
      <c r="L1502" s="27"/>
      <c r="M1502" s="17"/>
      <c r="R1502" s="3"/>
      <c r="T1502" s="1"/>
    </row>
    <row r="1503" spans="8:20" x14ac:dyDescent="0.35">
      <c r="H1503" s="7"/>
      <c r="I1503" s="7"/>
      <c r="J1503" s="7"/>
      <c r="L1503" s="27"/>
      <c r="M1503" s="17"/>
      <c r="R1503" s="3"/>
      <c r="T1503" s="1"/>
    </row>
    <row r="1504" spans="8:20" x14ac:dyDescent="0.35">
      <c r="H1504" s="7"/>
      <c r="I1504" s="7"/>
      <c r="J1504" s="7"/>
      <c r="L1504" s="27"/>
      <c r="M1504" s="17"/>
      <c r="R1504" s="3"/>
      <c r="T1504" s="1"/>
    </row>
    <row r="1505" spans="1:21" x14ac:dyDescent="0.35">
      <c r="H1505" s="7"/>
      <c r="I1505" s="7"/>
      <c r="J1505" s="7"/>
      <c r="L1505" s="27"/>
      <c r="M1505" s="17"/>
      <c r="R1505" s="3"/>
      <c r="T1505" s="1"/>
    </row>
    <row r="1506" spans="1:21" x14ac:dyDescent="0.35">
      <c r="H1506" s="7"/>
      <c r="I1506" s="7"/>
      <c r="J1506" s="7"/>
      <c r="L1506" s="27"/>
      <c r="M1506" s="17"/>
      <c r="R1506" s="3"/>
      <c r="T1506" s="1"/>
    </row>
    <row r="1507" spans="1:21" x14ac:dyDescent="0.35">
      <c r="H1507" s="7"/>
      <c r="I1507" s="7"/>
      <c r="J1507" s="7"/>
      <c r="L1507" s="27"/>
      <c r="M1507" s="17"/>
      <c r="R1507" s="3"/>
      <c r="T1507" s="1"/>
    </row>
    <row r="1508" spans="1:21" x14ac:dyDescent="0.35">
      <c r="H1508" s="7"/>
      <c r="I1508" s="7"/>
      <c r="J1508" s="7"/>
      <c r="L1508" s="27"/>
      <c r="M1508" s="17"/>
      <c r="R1508" s="3"/>
      <c r="T1508" s="1"/>
    </row>
    <row r="1509" spans="1:21" x14ac:dyDescent="0.35">
      <c r="H1509" s="7"/>
      <c r="I1509" s="7"/>
      <c r="J1509" s="7"/>
      <c r="L1509" s="27"/>
      <c r="M1509" s="17"/>
      <c r="R1509" s="3"/>
      <c r="T1509" s="1"/>
    </row>
    <row r="1510" spans="1:21" x14ac:dyDescent="0.35">
      <c r="H1510" s="7"/>
      <c r="I1510" s="7"/>
      <c r="J1510" s="7"/>
      <c r="L1510" s="27"/>
      <c r="M1510" s="17"/>
      <c r="R1510" s="3"/>
      <c r="T1510" s="1"/>
    </row>
    <row r="1511" spans="1:21" x14ac:dyDescent="0.35">
      <c r="H1511" s="7"/>
      <c r="I1511" s="7"/>
      <c r="J1511" s="7"/>
      <c r="L1511" s="27"/>
      <c r="M1511" s="17"/>
      <c r="R1511" s="3"/>
      <c r="T1511" s="1"/>
    </row>
    <row r="1512" spans="1:21" x14ac:dyDescent="0.35">
      <c r="H1512" s="7"/>
      <c r="I1512" s="7"/>
      <c r="J1512" s="7"/>
      <c r="L1512" s="27"/>
      <c r="M1512" s="17"/>
      <c r="R1512" s="3"/>
      <c r="T1512" s="1"/>
    </row>
    <row r="1513" spans="1:21" x14ac:dyDescent="0.35">
      <c r="H1513" s="7"/>
      <c r="I1513" s="7"/>
      <c r="J1513" s="7"/>
      <c r="L1513" s="27"/>
      <c r="M1513" s="17"/>
      <c r="R1513" s="3"/>
      <c r="T1513" s="1"/>
    </row>
    <row r="1514" spans="1:21" x14ac:dyDescent="0.35">
      <c r="H1514" s="7"/>
      <c r="I1514" s="7"/>
      <c r="J1514" s="7"/>
      <c r="L1514" s="27"/>
      <c r="M1514" s="17"/>
      <c r="R1514" s="3"/>
      <c r="T1514" s="1"/>
    </row>
    <row r="1515" spans="1:21" x14ac:dyDescent="0.35">
      <c r="H1515" s="7"/>
      <c r="I1515" s="7"/>
      <c r="J1515" s="7"/>
      <c r="L1515" s="27"/>
      <c r="M1515" s="17"/>
      <c r="R1515" s="3"/>
      <c r="T1515" s="1"/>
    </row>
    <row r="1516" spans="1:21" x14ac:dyDescent="0.35">
      <c r="H1516" s="7"/>
      <c r="I1516" s="7"/>
      <c r="J1516" s="7"/>
      <c r="L1516" s="27"/>
      <c r="M1516" s="17"/>
      <c r="R1516" s="3"/>
      <c r="T1516" s="1"/>
    </row>
    <row r="1517" spans="1:21" s="11" customFormat="1" x14ac:dyDescent="0.35">
      <c r="A1517" s="21"/>
      <c r="H1517" s="12"/>
      <c r="I1517" s="12"/>
      <c r="J1517" s="12"/>
      <c r="L1517" s="31"/>
      <c r="M1517" s="32"/>
      <c r="R1517" s="13"/>
      <c r="T1517" s="12"/>
      <c r="U1517"/>
    </row>
    <row r="1518" spans="1:21" x14ac:dyDescent="0.35">
      <c r="G1518" s="3"/>
      <c r="H1518" s="7"/>
      <c r="I1518" s="7"/>
      <c r="J1518" s="7"/>
      <c r="L1518" s="3"/>
      <c r="M1518" s="17"/>
      <c r="T1518" s="2"/>
    </row>
    <row r="1519" spans="1:21" x14ac:dyDescent="0.35">
      <c r="G1519" s="3"/>
      <c r="H1519" s="7"/>
      <c r="I1519" s="7"/>
      <c r="J1519" s="7"/>
      <c r="L1519" s="3"/>
      <c r="M1519" s="17"/>
      <c r="T1519" s="2"/>
    </row>
    <row r="1520" spans="1:21" x14ac:dyDescent="0.35">
      <c r="G1520" s="3"/>
      <c r="H1520" s="7"/>
      <c r="I1520" s="7"/>
      <c r="J1520" s="7"/>
      <c r="L1520" s="3"/>
      <c r="M1520" s="17"/>
      <c r="T1520" s="2"/>
    </row>
    <row r="1521" spans="7:20" x14ac:dyDescent="0.35">
      <c r="G1521" s="3"/>
      <c r="H1521" s="7"/>
      <c r="I1521" s="7"/>
      <c r="J1521" s="7"/>
      <c r="L1521" s="3"/>
      <c r="M1521" s="17"/>
      <c r="T1521" s="2"/>
    </row>
    <row r="1522" spans="7:20" x14ac:dyDescent="0.35">
      <c r="G1522" s="3"/>
      <c r="H1522" s="7"/>
      <c r="I1522" s="7"/>
      <c r="J1522" s="7"/>
      <c r="L1522" s="3"/>
      <c r="M1522" s="17"/>
      <c r="T1522" s="2"/>
    </row>
    <row r="1523" spans="7:20" x14ac:dyDescent="0.35">
      <c r="G1523" s="3"/>
      <c r="H1523" s="7"/>
      <c r="I1523" s="7"/>
      <c r="J1523" s="7"/>
      <c r="L1523" s="3"/>
      <c r="M1523" s="17"/>
      <c r="T1523" s="2"/>
    </row>
    <row r="1524" spans="7:20" x14ac:dyDescent="0.35">
      <c r="G1524" s="3"/>
      <c r="H1524" s="7"/>
      <c r="I1524" s="7"/>
      <c r="J1524" s="7"/>
      <c r="L1524" s="3"/>
      <c r="M1524" s="17"/>
      <c r="T1524" s="2"/>
    </row>
    <row r="1525" spans="7:20" x14ac:dyDescent="0.35">
      <c r="G1525" s="3"/>
      <c r="H1525" s="7"/>
      <c r="I1525" s="7"/>
      <c r="J1525" s="7"/>
      <c r="L1525" s="3"/>
      <c r="M1525" s="17"/>
      <c r="T1525" s="2"/>
    </row>
    <row r="1526" spans="7:20" x14ac:dyDescent="0.35">
      <c r="G1526" s="3"/>
      <c r="H1526" s="7"/>
      <c r="I1526" s="7"/>
      <c r="J1526" s="7"/>
      <c r="L1526" s="3"/>
      <c r="M1526" s="17"/>
      <c r="T1526" s="2"/>
    </row>
    <row r="1527" spans="7:20" x14ac:dyDescent="0.35">
      <c r="G1527" s="3"/>
      <c r="H1527" s="7"/>
      <c r="I1527" s="7"/>
      <c r="J1527" s="7"/>
      <c r="L1527" s="3"/>
      <c r="M1527" s="17"/>
      <c r="T1527" s="2"/>
    </row>
    <row r="1528" spans="7:20" x14ac:dyDescent="0.35">
      <c r="G1528" s="3"/>
      <c r="H1528" s="7"/>
      <c r="I1528" s="7"/>
      <c r="J1528" s="7"/>
      <c r="L1528" s="3"/>
      <c r="M1528" s="17"/>
      <c r="T1528" s="2"/>
    </row>
    <row r="1529" spans="7:20" x14ac:dyDescent="0.35">
      <c r="G1529" s="3"/>
      <c r="H1529" s="7"/>
      <c r="I1529" s="7"/>
      <c r="J1529" s="7"/>
      <c r="L1529" s="3"/>
      <c r="M1529" s="17"/>
      <c r="T1529" s="2"/>
    </row>
    <row r="1530" spans="7:20" x14ac:dyDescent="0.35">
      <c r="G1530" s="3"/>
      <c r="H1530" s="7"/>
      <c r="I1530" s="7"/>
      <c r="J1530" s="7"/>
      <c r="L1530" s="3"/>
      <c r="M1530" s="17"/>
      <c r="T1530" s="2"/>
    </row>
    <row r="1531" spans="7:20" x14ac:dyDescent="0.35">
      <c r="G1531" s="3"/>
      <c r="H1531" s="7"/>
      <c r="I1531" s="7"/>
      <c r="J1531" s="7"/>
      <c r="L1531" s="3"/>
      <c r="M1531" s="17"/>
      <c r="T1531" s="2"/>
    </row>
    <row r="1532" spans="7:20" x14ac:dyDescent="0.35">
      <c r="G1532" s="3"/>
      <c r="H1532" s="7"/>
      <c r="I1532" s="7"/>
      <c r="J1532" s="7"/>
      <c r="L1532" s="3"/>
      <c r="M1532" s="17"/>
      <c r="T1532" s="2"/>
    </row>
    <row r="1533" spans="7:20" x14ac:dyDescent="0.35">
      <c r="G1533" s="3"/>
      <c r="H1533" s="7"/>
      <c r="I1533" s="7"/>
      <c r="J1533" s="7"/>
      <c r="L1533" s="3"/>
      <c r="M1533" s="17"/>
      <c r="T1533" s="2"/>
    </row>
    <row r="1534" spans="7:20" x14ac:dyDescent="0.35">
      <c r="G1534" s="3"/>
      <c r="H1534" s="7"/>
      <c r="I1534" s="7"/>
      <c r="J1534" s="7"/>
      <c r="L1534" s="3"/>
      <c r="M1534" s="17"/>
      <c r="T1534" s="2"/>
    </row>
    <row r="1535" spans="7:20" x14ac:dyDescent="0.35">
      <c r="G1535" s="3"/>
      <c r="H1535" s="7"/>
      <c r="I1535" s="7"/>
      <c r="J1535" s="7"/>
      <c r="L1535" s="3"/>
      <c r="M1535" s="17"/>
      <c r="T1535" s="2"/>
    </row>
    <row r="1536" spans="7:20" x14ac:dyDescent="0.35">
      <c r="G1536" s="3"/>
      <c r="H1536" s="7"/>
      <c r="I1536" s="7"/>
      <c r="J1536" s="7"/>
      <c r="L1536" s="3"/>
      <c r="M1536" s="17"/>
      <c r="T1536" s="2"/>
    </row>
    <row r="1537" spans="7:20" x14ac:dyDescent="0.35">
      <c r="G1537" s="3"/>
      <c r="H1537" s="7"/>
      <c r="I1537" s="7"/>
      <c r="J1537" s="7"/>
      <c r="L1537" s="3"/>
      <c r="M1537" s="17"/>
      <c r="T1537" s="2"/>
    </row>
    <row r="1538" spans="7:20" x14ac:dyDescent="0.35">
      <c r="G1538" s="3"/>
      <c r="H1538" s="7"/>
      <c r="I1538" s="7"/>
      <c r="J1538" s="7"/>
      <c r="L1538" s="3"/>
      <c r="M1538" s="17"/>
      <c r="T1538" s="2"/>
    </row>
    <row r="1539" spans="7:20" x14ac:dyDescent="0.35">
      <c r="G1539" s="3"/>
      <c r="H1539" s="7"/>
      <c r="I1539" s="7"/>
      <c r="J1539" s="7"/>
      <c r="L1539" s="3"/>
      <c r="M1539" s="17"/>
      <c r="T1539" s="2"/>
    </row>
    <row r="1540" spans="7:20" x14ac:dyDescent="0.35">
      <c r="G1540" s="3"/>
      <c r="H1540" s="7"/>
      <c r="I1540" s="7"/>
      <c r="J1540" s="7"/>
      <c r="L1540" s="3"/>
      <c r="M1540" s="17"/>
      <c r="T1540" s="2"/>
    </row>
    <row r="1541" spans="7:20" x14ac:dyDescent="0.35">
      <c r="G1541" s="3"/>
      <c r="H1541" s="7"/>
      <c r="I1541" s="7"/>
      <c r="J1541" s="7"/>
      <c r="L1541" s="3"/>
      <c r="M1541" s="17"/>
      <c r="T1541" s="2"/>
    </row>
    <row r="1542" spans="7:20" x14ac:dyDescent="0.35">
      <c r="G1542" s="3"/>
      <c r="H1542" s="7"/>
      <c r="I1542" s="7"/>
      <c r="J1542" s="7"/>
      <c r="L1542" s="3"/>
      <c r="M1542" s="17"/>
      <c r="T1542" s="2"/>
    </row>
    <row r="1543" spans="7:20" x14ac:dyDescent="0.35">
      <c r="G1543" s="3"/>
      <c r="H1543" s="7"/>
      <c r="I1543" s="7"/>
      <c r="J1543" s="7"/>
      <c r="L1543" s="3"/>
      <c r="M1543" s="17"/>
      <c r="T1543" s="2"/>
    </row>
    <row r="1544" spans="7:20" x14ac:dyDescent="0.35">
      <c r="G1544" s="3"/>
      <c r="H1544" s="7"/>
      <c r="I1544" s="7"/>
      <c r="J1544" s="7"/>
      <c r="L1544" s="3"/>
      <c r="M1544" s="17"/>
      <c r="T1544" s="2"/>
    </row>
    <row r="1545" spans="7:20" x14ac:dyDescent="0.35">
      <c r="G1545" s="3"/>
      <c r="H1545" s="7"/>
      <c r="I1545" s="7"/>
      <c r="J1545" s="7"/>
      <c r="L1545" s="3"/>
      <c r="M1545" s="17"/>
      <c r="T1545" s="2"/>
    </row>
    <row r="1546" spans="7:20" x14ac:dyDescent="0.35">
      <c r="G1546" s="3"/>
      <c r="H1546" s="7"/>
      <c r="I1546" s="7"/>
      <c r="J1546" s="7"/>
      <c r="L1546" s="3"/>
      <c r="M1546" s="17"/>
      <c r="T1546" s="2"/>
    </row>
    <row r="1547" spans="7:20" x14ac:dyDescent="0.35">
      <c r="G1547" s="3"/>
      <c r="H1547" s="7"/>
      <c r="I1547" s="7"/>
      <c r="J1547" s="7"/>
      <c r="L1547" s="3"/>
      <c r="M1547" s="17"/>
      <c r="T1547" s="2"/>
    </row>
    <row r="1548" spans="7:20" x14ac:dyDescent="0.35">
      <c r="G1548" s="3"/>
      <c r="H1548" s="7"/>
      <c r="I1548" s="7"/>
      <c r="J1548" s="7"/>
      <c r="L1548" s="3"/>
      <c r="M1548" s="17"/>
      <c r="T1548" s="2"/>
    </row>
    <row r="1549" spans="7:20" x14ac:dyDescent="0.35">
      <c r="G1549" s="3"/>
      <c r="H1549" s="7"/>
      <c r="I1549" s="7"/>
      <c r="J1549" s="7"/>
      <c r="L1549" s="3"/>
      <c r="M1549" s="17"/>
      <c r="T1549" s="2"/>
    </row>
    <row r="1550" spans="7:20" x14ac:dyDescent="0.35">
      <c r="G1550" s="3"/>
      <c r="H1550" s="7"/>
      <c r="I1550" s="7"/>
      <c r="J1550" s="7"/>
      <c r="L1550" s="3"/>
      <c r="M1550" s="17"/>
      <c r="T1550" s="2"/>
    </row>
    <row r="1551" spans="7:20" x14ac:dyDescent="0.35">
      <c r="G1551" s="3"/>
      <c r="H1551" s="7"/>
      <c r="I1551" s="7"/>
      <c r="J1551" s="7"/>
      <c r="L1551" s="3"/>
      <c r="M1551" s="17"/>
      <c r="T1551" s="2"/>
    </row>
    <row r="1552" spans="7:20" x14ac:dyDescent="0.35">
      <c r="G1552" s="3"/>
      <c r="H1552" s="7"/>
      <c r="I1552" s="7"/>
      <c r="J1552" s="7"/>
      <c r="L1552" s="3"/>
      <c r="M1552" s="17"/>
      <c r="T1552" s="2"/>
    </row>
    <row r="1553" spans="7:20" x14ac:dyDescent="0.35">
      <c r="G1553" s="3"/>
      <c r="H1553" s="7"/>
      <c r="I1553" s="7"/>
      <c r="J1553" s="7"/>
      <c r="L1553" s="3"/>
      <c r="M1553" s="17"/>
      <c r="T1553" s="2"/>
    </row>
    <row r="1554" spans="7:20" x14ac:dyDescent="0.35">
      <c r="G1554" s="3"/>
      <c r="H1554" s="7"/>
      <c r="I1554" s="7"/>
      <c r="J1554" s="7"/>
      <c r="L1554" s="3"/>
      <c r="M1554" s="17"/>
      <c r="T1554" s="2"/>
    </row>
    <row r="1555" spans="7:20" x14ac:dyDescent="0.35">
      <c r="G1555" s="3"/>
      <c r="H1555" s="7"/>
      <c r="I1555" s="7"/>
      <c r="J1555" s="7"/>
      <c r="L1555" s="3"/>
      <c r="M1555" s="17"/>
      <c r="T1555" s="2"/>
    </row>
    <row r="1556" spans="7:20" x14ac:dyDescent="0.35">
      <c r="G1556" s="3"/>
      <c r="H1556" s="7"/>
      <c r="I1556" s="7"/>
      <c r="J1556" s="7"/>
      <c r="L1556" s="3"/>
      <c r="M1556" s="17"/>
      <c r="T1556" s="2"/>
    </row>
    <row r="1557" spans="7:20" x14ac:dyDescent="0.35">
      <c r="G1557" s="3"/>
      <c r="H1557" s="7"/>
      <c r="I1557" s="7"/>
      <c r="J1557" s="7"/>
      <c r="L1557" s="3"/>
      <c r="M1557" s="17"/>
      <c r="T1557" s="2"/>
    </row>
    <row r="1558" spans="7:20" x14ac:dyDescent="0.35">
      <c r="G1558" s="3"/>
      <c r="H1558" s="7"/>
      <c r="I1558" s="7"/>
      <c r="J1558" s="7"/>
      <c r="L1558" s="3"/>
      <c r="M1558" s="17"/>
      <c r="T1558" s="2"/>
    </row>
    <row r="1559" spans="7:20" x14ac:dyDescent="0.35">
      <c r="G1559" s="3"/>
      <c r="H1559" s="7"/>
      <c r="I1559" s="7"/>
      <c r="J1559" s="7"/>
      <c r="L1559" s="3"/>
      <c r="M1559" s="17"/>
      <c r="T1559" s="2"/>
    </row>
    <row r="1560" spans="7:20" x14ac:dyDescent="0.35">
      <c r="G1560" s="3"/>
      <c r="H1560" s="7"/>
      <c r="I1560" s="7"/>
      <c r="J1560" s="7"/>
      <c r="L1560" s="3"/>
      <c r="M1560" s="17"/>
      <c r="T1560" s="2"/>
    </row>
    <row r="1561" spans="7:20" x14ac:dyDescent="0.35">
      <c r="G1561" s="3"/>
      <c r="H1561" s="7"/>
      <c r="I1561" s="7"/>
      <c r="J1561" s="7"/>
      <c r="L1561" s="3"/>
      <c r="M1561" s="17"/>
      <c r="T1561" s="2"/>
    </row>
    <row r="1562" spans="7:20" x14ac:dyDescent="0.35">
      <c r="G1562" s="3"/>
      <c r="H1562" s="7"/>
      <c r="I1562" s="7"/>
      <c r="J1562" s="7"/>
      <c r="L1562" s="3"/>
      <c r="M1562" s="17"/>
      <c r="T1562" s="2"/>
    </row>
    <row r="1563" spans="7:20" x14ac:dyDescent="0.35">
      <c r="G1563" s="3"/>
      <c r="H1563" s="7"/>
      <c r="I1563" s="7"/>
      <c r="J1563" s="7"/>
      <c r="L1563" s="3"/>
      <c r="M1563" s="17"/>
      <c r="T1563" s="2"/>
    </row>
    <row r="1564" spans="7:20" x14ac:dyDescent="0.35">
      <c r="G1564" s="3"/>
      <c r="H1564" s="7"/>
      <c r="I1564" s="7"/>
      <c r="J1564" s="7"/>
      <c r="L1564" s="3"/>
      <c r="M1564" s="17"/>
      <c r="T1564" s="2"/>
    </row>
    <row r="1565" spans="7:20" x14ac:dyDescent="0.35">
      <c r="G1565" s="3"/>
      <c r="H1565" s="7"/>
      <c r="I1565" s="7"/>
      <c r="J1565" s="7"/>
      <c r="L1565" s="3"/>
      <c r="M1565" s="17"/>
      <c r="T1565" s="2"/>
    </row>
    <row r="1566" spans="7:20" x14ac:dyDescent="0.35">
      <c r="G1566" s="3"/>
      <c r="H1566" s="7"/>
      <c r="I1566" s="7"/>
      <c r="J1566" s="7"/>
      <c r="L1566" s="3"/>
      <c r="M1566" s="17"/>
      <c r="T1566" s="2"/>
    </row>
    <row r="1567" spans="7:20" x14ac:dyDescent="0.35">
      <c r="G1567" s="3"/>
      <c r="H1567" s="7"/>
      <c r="I1567" s="7"/>
      <c r="J1567" s="7"/>
      <c r="L1567" s="3"/>
      <c r="M1567" s="17"/>
      <c r="T1567" s="2"/>
    </row>
    <row r="1568" spans="7:20" x14ac:dyDescent="0.35">
      <c r="G1568" s="3"/>
      <c r="H1568" s="7"/>
      <c r="I1568" s="7"/>
      <c r="J1568" s="7"/>
      <c r="L1568" s="26"/>
      <c r="M1568" s="17"/>
      <c r="T1568" s="2"/>
    </row>
    <row r="1569" spans="7:20" x14ac:dyDescent="0.35">
      <c r="G1569" s="3"/>
      <c r="H1569" s="7"/>
      <c r="I1569" s="7"/>
      <c r="J1569" s="7"/>
      <c r="L1569" s="26"/>
      <c r="M1569" s="17"/>
      <c r="T1569" s="2"/>
    </row>
    <row r="1570" spans="7:20" x14ac:dyDescent="0.35">
      <c r="G1570" s="3"/>
      <c r="H1570" s="7"/>
      <c r="I1570" s="7"/>
      <c r="J1570" s="7"/>
      <c r="L1570" s="26"/>
      <c r="M1570" s="17"/>
      <c r="T1570" s="2"/>
    </row>
    <row r="1571" spans="7:20" x14ac:dyDescent="0.35">
      <c r="G1571" s="3"/>
      <c r="H1571" s="7"/>
      <c r="I1571" s="7"/>
      <c r="J1571" s="7"/>
      <c r="L1571" s="26"/>
      <c r="M1571" s="17"/>
      <c r="T1571" s="2"/>
    </row>
    <row r="1572" spans="7:20" x14ac:dyDescent="0.35">
      <c r="G1572" s="3"/>
      <c r="H1572" s="7"/>
      <c r="I1572" s="7"/>
      <c r="J1572" s="7"/>
      <c r="L1572" s="26"/>
      <c r="M1572" s="17"/>
      <c r="T1572" s="2"/>
    </row>
    <row r="1573" spans="7:20" x14ac:dyDescent="0.35">
      <c r="G1573" s="3"/>
      <c r="H1573" s="7"/>
      <c r="I1573" s="7"/>
      <c r="J1573" s="7"/>
      <c r="L1573" s="26"/>
      <c r="M1573" s="17"/>
      <c r="T1573" s="2"/>
    </row>
    <row r="1574" spans="7:20" x14ac:dyDescent="0.35">
      <c r="G1574" s="3"/>
      <c r="H1574" s="7"/>
      <c r="I1574" s="7"/>
      <c r="J1574" s="7"/>
      <c r="L1574" s="26"/>
      <c r="M1574" s="17"/>
      <c r="T1574" s="2"/>
    </row>
    <row r="1575" spans="7:20" x14ac:dyDescent="0.35">
      <c r="G1575" s="3"/>
      <c r="H1575" s="7"/>
      <c r="I1575" s="7"/>
      <c r="J1575" s="7"/>
      <c r="L1575" s="26"/>
      <c r="M1575" s="17"/>
      <c r="T1575" s="2"/>
    </row>
    <row r="1576" spans="7:20" x14ac:dyDescent="0.35">
      <c r="G1576" s="3"/>
      <c r="H1576" s="7"/>
      <c r="I1576" s="7"/>
      <c r="J1576" s="7"/>
      <c r="L1576" s="26"/>
      <c r="M1576" s="17"/>
      <c r="T1576" s="2"/>
    </row>
    <row r="1577" spans="7:20" x14ac:dyDescent="0.35">
      <c r="G1577" s="3"/>
      <c r="H1577" s="7"/>
      <c r="I1577" s="7"/>
      <c r="J1577" s="7"/>
      <c r="L1577" s="26"/>
      <c r="M1577" s="17"/>
      <c r="T1577" s="2"/>
    </row>
    <row r="1578" spans="7:20" x14ac:dyDescent="0.35">
      <c r="G1578" s="3"/>
      <c r="H1578" s="7"/>
      <c r="I1578" s="7"/>
      <c r="J1578" s="7"/>
      <c r="L1578" s="26"/>
      <c r="M1578" s="17"/>
      <c r="T1578" s="2"/>
    </row>
    <row r="1579" spans="7:20" x14ac:dyDescent="0.35">
      <c r="G1579" s="3"/>
      <c r="H1579" s="7"/>
      <c r="I1579" s="7"/>
      <c r="J1579" s="7"/>
      <c r="L1579" s="26"/>
      <c r="M1579" s="17"/>
      <c r="T1579" s="2"/>
    </row>
    <row r="1580" spans="7:20" x14ac:dyDescent="0.35">
      <c r="G1580" s="3"/>
      <c r="H1580" s="7"/>
      <c r="I1580" s="7"/>
      <c r="J1580" s="7"/>
      <c r="L1580" s="26"/>
      <c r="M1580" s="17"/>
      <c r="T1580" s="2"/>
    </row>
    <row r="1581" spans="7:20" x14ac:dyDescent="0.35">
      <c r="G1581" s="3"/>
      <c r="H1581" s="7"/>
      <c r="I1581" s="7"/>
      <c r="J1581" s="7"/>
      <c r="L1581" s="26"/>
      <c r="M1581" s="17"/>
      <c r="T1581" s="2"/>
    </row>
    <row r="1582" spans="7:20" x14ac:dyDescent="0.35">
      <c r="G1582" s="3"/>
      <c r="H1582" s="7"/>
      <c r="I1582" s="7"/>
      <c r="J1582" s="7"/>
      <c r="L1582" s="26"/>
      <c r="M1582" s="17"/>
      <c r="T1582" s="2"/>
    </row>
    <row r="1583" spans="7:20" x14ac:dyDescent="0.35">
      <c r="G1583" s="3"/>
      <c r="H1583" s="7"/>
      <c r="I1583" s="7"/>
      <c r="J1583" s="7"/>
      <c r="L1583" s="26"/>
      <c r="M1583" s="17"/>
      <c r="T1583" s="2"/>
    </row>
    <row r="1584" spans="7:20" x14ac:dyDescent="0.35">
      <c r="G1584" s="3"/>
      <c r="H1584" s="7"/>
      <c r="I1584" s="7"/>
      <c r="J1584" s="7"/>
      <c r="L1584" s="26"/>
      <c r="M1584" s="17"/>
      <c r="T1584" s="2"/>
    </row>
    <row r="1585" spans="7:20" x14ac:dyDescent="0.35">
      <c r="G1585" s="3"/>
      <c r="H1585" s="7"/>
      <c r="I1585" s="7"/>
      <c r="J1585" s="7"/>
      <c r="L1585" s="26"/>
      <c r="M1585" s="17"/>
      <c r="T1585" s="2"/>
    </row>
    <row r="1586" spans="7:20" x14ac:dyDescent="0.35">
      <c r="G1586" s="3"/>
      <c r="H1586" s="7"/>
      <c r="I1586" s="7"/>
      <c r="J1586" s="7"/>
      <c r="L1586" s="26"/>
      <c r="M1586" s="17"/>
      <c r="T1586" s="2"/>
    </row>
    <row r="1587" spans="7:20" x14ac:dyDescent="0.35">
      <c r="G1587" s="3"/>
      <c r="H1587" s="7"/>
      <c r="I1587" s="7"/>
      <c r="J1587" s="7"/>
      <c r="L1587" s="26"/>
      <c r="M1587" s="17"/>
      <c r="T1587" s="2"/>
    </row>
    <row r="1588" spans="7:20" x14ac:dyDescent="0.35">
      <c r="G1588" s="3"/>
      <c r="H1588" s="7"/>
      <c r="I1588" s="7"/>
      <c r="J1588" s="7"/>
      <c r="L1588" s="26"/>
      <c r="M1588" s="17"/>
      <c r="T1588" s="2"/>
    </row>
    <row r="1589" spans="7:20" x14ac:dyDescent="0.35">
      <c r="G1589" s="3"/>
      <c r="H1589" s="7"/>
      <c r="I1589" s="7"/>
      <c r="J1589" s="7"/>
      <c r="L1589" s="26"/>
      <c r="M1589" s="17"/>
      <c r="T1589" s="2"/>
    </row>
    <row r="1590" spans="7:20" x14ac:dyDescent="0.35">
      <c r="G1590" s="3"/>
      <c r="H1590" s="7"/>
      <c r="I1590" s="7"/>
      <c r="J1590" s="7"/>
      <c r="L1590" s="26"/>
      <c r="M1590" s="17"/>
      <c r="T1590" s="2"/>
    </row>
    <row r="1591" spans="7:20" x14ac:dyDescent="0.35">
      <c r="G1591" s="3"/>
      <c r="H1591" s="7"/>
      <c r="I1591" s="7"/>
      <c r="J1591" s="7"/>
      <c r="L1591" s="26"/>
      <c r="M1591" s="17"/>
      <c r="T1591" s="2"/>
    </row>
    <row r="1592" spans="7:20" x14ac:dyDescent="0.35">
      <c r="G1592" s="3"/>
      <c r="H1592" s="7"/>
      <c r="I1592" s="7"/>
      <c r="J1592" s="7"/>
      <c r="L1592" s="26"/>
      <c r="M1592" s="17"/>
      <c r="T1592" s="2"/>
    </row>
    <row r="1593" spans="7:20" x14ac:dyDescent="0.35">
      <c r="G1593" s="3"/>
      <c r="H1593" s="7"/>
      <c r="I1593" s="7"/>
      <c r="J1593" s="7"/>
      <c r="L1593" s="26"/>
      <c r="M1593" s="17"/>
      <c r="T1593" s="2"/>
    </row>
    <row r="1594" spans="7:20" x14ac:dyDescent="0.35">
      <c r="G1594" s="3"/>
      <c r="H1594" s="7"/>
      <c r="I1594" s="7"/>
      <c r="J1594" s="7"/>
      <c r="L1594" s="26"/>
      <c r="M1594" s="17"/>
      <c r="T1594" s="2"/>
    </row>
    <row r="1595" spans="7:20" x14ac:dyDescent="0.35">
      <c r="G1595" s="3"/>
      <c r="H1595" s="7"/>
      <c r="I1595" s="7"/>
      <c r="J1595" s="7"/>
      <c r="L1595" s="26"/>
      <c r="M1595" s="17"/>
      <c r="T1595" s="2"/>
    </row>
    <row r="1596" spans="7:20" x14ac:dyDescent="0.35">
      <c r="G1596" s="3"/>
      <c r="H1596" s="7"/>
      <c r="I1596" s="7"/>
      <c r="J1596" s="7"/>
      <c r="L1596" s="26"/>
      <c r="M1596" s="17"/>
      <c r="T1596" s="2"/>
    </row>
    <row r="1597" spans="7:20" x14ac:dyDescent="0.35">
      <c r="G1597" s="3"/>
      <c r="H1597" s="7"/>
      <c r="I1597" s="7"/>
      <c r="J1597" s="7"/>
      <c r="L1597" s="3"/>
      <c r="M1597" s="17"/>
      <c r="T1597" s="2"/>
    </row>
    <row r="1598" spans="7:20" x14ac:dyDescent="0.35">
      <c r="G1598" s="3"/>
      <c r="H1598" s="7"/>
      <c r="I1598" s="7"/>
      <c r="J1598" s="7"/>
      <c r="L1598" s="3"/>
      <c r="M1598" s="17"/>
      <c r="T1598" s="2"/>
    </row>
    <row r="1599" spans="7:20" x14ac:dyDescent="0.35">
      <c r="G1599" s="3"/>
      <c r="H1599" s="7"/>
      <c r="I1599" s="7"/>
      <c r="J1599" s="7"/>
      <c r="L1599" s="3"/>
      <c r="M1599" s="17"/>
      <c r="T1599" s="2"/>
    </row>
    <row r="1600" spans="7:20" x14ac:dyDescent="0.35">
      <c r="G1600" s="3"/>
      <c r="H1600" s="7"/>
      <c r="I1600" s="7"/>
      <c r="J1600" s="7"/>
      <c r="L1600" s="3"/>
      <c r="M1600" s="17"/>
      <c r="T1600" s="2"/>
    </row>
    <row r="1601" spans="7:20" x14ac:dyDescent="0.35">
      <c r="G1601" s="3"/>
      <c r="H1601" s="7"/>
      <c r="I1601" s="7"/>
      <c r="J1601" s="7"/>
      <c r="L1601" s="3"/>
      <c r="M1601" s="17"/>
      <c r="T1601" s="2"/>
    </row>
    <row r="1602" spans="7:20" x14ac:dyDescent="0.35">
      <c r="G1602" s="3"/>
      <c r="H1602" s="7"/>
      <c r="I1602" s="7"/>
      <c r="J1602" s="7"/>
      <c r="L1602" s="3"/>
      <c r="M1602" s="17"/>
      <c r="T1602" s="2"/>
    </row>
    <row r="1603" spans="7:20" x14ac:dyDescent="0.35">
      <c r="G1603" s="3"/>
      <c r="H1603" s="7"/>
      <c r="I1603" s="7"/>
      <c r="J1603" s="7"/>
      <c r="L1603" s="3"/>
      <c r="M1603" s="17"/>
      <c r="T1603" s="2"/>
    </row>
    <row r="1604" spans="7:20" x14ac:dyDescent="0.35">
      <c r="G1604" s="3"/>
      <c r="H1604" s="7"/>
      <c r="I1604" s="7"/>
      <c r="J1604" s="7"/>
      <c r="L1604" s="3"/>
      <c r="M1604" s="17"/>
      <c r="T1604" s="2"/>
    </row>
    <row r="1605" spans="7:20" x14ac:dyDescent="0.35">
      <c r="G1605" s="3"/>
      <c r="H1605" s="7"/>
      <c r="I1605" s="7"/>
      <c r="J1605" s="7"/>
      <c r="L1605" s="3"/>
      <c r="M1605" s="17"/>
      <c r="T1605" s="2"/>
    </row>
    <row r="1606" spans="7:20" x14ac:dyDescent="0.35">
      <c r="G1606" s="3"/>
      <c r="H1606" s="7"/>
      <c r="I1606" s="7"/>
      <c r="J1606" s="7"/>
      <c r="L1606" s="3"/>
      <c r="M1606" s="17"/>
      <c r="T1606" s="2"/>
    </row>
    <row r="1607" spans="7:20" x14ac:dyDescent="0.35">
      <c r="G1607" s="3"/>
      <c r="H1607" s="7"/>
      <c r="I1607" s="7"/>
      <c r="J1607" s="7"/>
      <c r="L1607" s="3"/>
      <c r="M1607" s="17"/>
      <c r="T1607" s="2"/>
    </row>
    <row r="1608" spans="7:20" x14ac:dyDescent="0.35">
      <c r="G1608" s="3"/>
      <c r="H1608" s="7"/>
      <c r="I1608" s="7"/>
      <c r="J1608" s="7"/>
      <c r="L1608" s="3"/>
      <c r="M1608" s="17"/>
      <c r="T1608" s="2"/>
    </row>
    <row r="1609" spans="7:20" x14ac:dyDescent="0.35">
      <c r="G1609" s="3"/>
      <c r="H1609" s="7"/>
      <c r="I1609" s="7"/>
      <c r="J1609" s="7"/>
      <c r="L1609" s="3"/>
      <c r="M1609" s="17"/>
      <c r="T1609" s="2"/>
    </row>
    <row r="1610" spans="7:20" x14ac:dyDescent="0.35">
      <c r="G1610" s="3"/>
      <c r="H1610" s="7"/>
      <c r="I1610" s="7"/>
      <c r="J1610" s="7"/>
      <c r="L1610" s="3"/>
      <c r="M1610" s="17"/>
      <c r="T1610" s="2"/>
    </row>
    <row r="1611" spans="7:20" x14ac:dyDescent="0.35">
      <c r="G1611" s="3"/>
      <c r="H1611" s="7"/>
      <c r="I1611" s="7"/>
      <c r="J1611" s="7"/>
      <c r="L1611" s="3"/>
      <c r="M1611" s="17"/>
      <c r="T1611" s="2"/>
    </row>
    <row r="1612" spans="7:20" x14ac:dyDescent="0.35">
      <c r="G1612" s="3"/>
      <c r="H1612" s="7"/>
      <c r="I1612" s="7"/>
      <c r="J1612" s="7"/>
      <c r="L1612" s="3"/>
      <c r="M1612" s="17"/>
      <c r="T1612" s="2"/>
    </row>
    <row r="1613" spans="7:20" x14ac:dyDescent="0.35">
      <c r="G1613" s="3"/>
      <c r="H1613" s="7"/>
      <c r="I1613" s="7"/>
      <c r="J1613" s="7"/>
      <c r="L1613" s="3"/>
      <c r="M1613" s="17"/>
      <c r="T1613" s="2"/>
    </row>
    <row r="1614" spans="7:20" x14ac:dyDescent="0.35">
      <c r="G1614" s="3"/>
      <c r="H1614" s="7"/>
      <c r="I1614" s="7"/>
      <c r="J1614" s="7"/>
      <c r="L1614" s="3"/>
      <c r="M1614" s="17"/>
      <c r="T1614" s="2"/>
    </row>
    <row r="1615" spans="7:20" x14ac:dyDescent="0.35">
      <c r="G1615" s="3"/>
      <c r="H1615" s="7"/>
      <c r="I1615" s="7"/>
      <c r="J1615" s="7"/>
      <c r="L1615" s="3"/>
      <c r="M1615" s="17"/>
      <c r="T1615" s="2"/>
    </row>
    <row r="1616" spans="7:20" x14ac:dyDescent="0.35">
      <c r="G1616" s="3"/>
      <c r="H1616" s="7"/>
      <c r="I1616" s="7"/>
      <c r="J1616" s="7"/>
      <c r="L1616" s="3"/>
      <c r="M1616" s="17"/>
      <c r="T1616" s="2"/>
    </row>
    <row r="1617" spans="7:20" x14ac:dyDescent="0.35">
      <c r="G1617" s="3"/>
      <c r="H1617" s="7"/>
      <c r="I1617" s="7"/>
      <c r="J1617" s="7"/>
      <c r="L1617" s="3"/>
      <c r="M1617" s="17"/>
      <c r="T1617" s="2"/>
    </row>
    <row r="1618" spans="7:20" x14ac:dyDescent="0.35">
      <c r="G1618" s="3"/>
      <c r="H1618" s="7"/>
      <c r="I1618" s="7"/>
      <c r="J1618" s="7"/>
      <c r="L1618" s="3"/>
      <c r="M1618" s="17"/>
      <c r="T1618" s="2"/>
    </row>
    <row r="1619" spans="7:20" x14ac:dyDescent="0.35">
      <c r="G1619" s="3"/>
      <c r="H1619" s="7"/>
      <c r="I1619" s="7"/>
      <c r="J1619" s="7"/>
      <c r="L1619" s="3"/>
      <c r="M1619" s="17"/>
      <c r="T1619" s="2"/>
    </row>
    <row r="1620" spans="7:20" x14ac:dyDescent="0.35">
      <c r="G1620" s="3"/>
      <c r="H1620" s="7"/>
      <c r="I1620" s="7"/>
      <c r="J1620" s="7"/>
      <c r="L1620" s="3"/>
      <c r="M1620" s="17"/>
      <c r="T1620" s="2"/>
    </row>
    <row r="1621" spans="7:20" x14ac:dyDescent="0.35">
      <c r="G1621" s="3"/>
      <c r="H1621" s="7"/>
      <c r="I1621" s="7"/>
      <c r="J1621" s="7"/>
      <c r="L1621" s="3"/>
      <c r="M1621" s="17"/>
      <c r="T1621" s="2"/>
    </row>
    <row r="1622" spans="7:20" x14ac:dyDescent="0.35">
      <c r="G1622" s="3"/>
      <c r="H1622" s="7"/>
      <c r="I1622" s="7"/>
      <c r="J1622" s="7"/>
      <c r="L1622" s="3"/>
      <c r="M1622" s="17"/>
      <c r="T1622" s="2"/>
    </row>
    <row r="1623" spans="7:20" x14ac:dyDescent="0.35">
      <c r="G1623" s="3"/>
      <c r="H1623" s="7"/>
      <c r="I1623" s="7"/>
      <c r="J1623" s="7"/>
      <c r="L1623" s="3"/>
      <c r="M1623" s="17"/>
      <c r="T1623" s="2"/>
    </row>
    <row r="1624" spans="7:20" x14ac:dyDescent="0.35">
      <c r="G1624" s="3"/>
      <c r="H1624" s="7"/>
      <c r="I1624" s="7"/>
      <c r="J1624" s="7"/>
      <c r="L1624" s="3"/>
      <c r="M1624" s="17"/>
      <c r="T1624" s="2"/>
    </row>
    <row r="1625" spans="7:20" x14ac:dyDescent="0.35">
      <c r="G1625" s="3"/>
      <c r="H1625" s="7"/>
      <c r="I1625" s="7"/>
      <c r="J1625" s="7"/>
      <c r="L1625" s="3"/>
      <c r="M1625" s="17"/>
      <c r="T1625" s="2"/>
    </row>
    <row r="1626" spans="7:20" x14ac:dyDescent="0.35">
      <c r="G1626" s="3"/>
      <c r="H1626" s="7"/>
      <c r="I1626" s="7"/>
      <c r="J1626" s="7"/>
      <c r="L1626" s="3"/>
      <c r="M1626" s="17"/>
      <c r="T1626" s="2"/>
    </row>
    <row r="1627" spans="7:20" x14ac:dyDescent="0.35">
      <c r="G1627" s="3"/>
      <c r="H1627" s="7"/>
      <c r="I1627" s="7"/>
      <c r="J1627" s="7"/>
      <c r="L1627" s="3"/>
      <c r="M1627" s="17"/>
      <c r="T1627" s="2"/>
    </row>
    <row r="1628" spans="7:20" x14ac:dyDescent="0.35">
      <c r="G1628" s="3"/>
      <c r="H1628" s="7"/>
      <c r="I1628" s="7"/>
      <c r="J1628" s="7"/>
      <c r="L1628" s="3"/>
      <c r="M1628" s="17"/>
      <c r="T1628" s="2"/>
    </row>
    <row r="1629" spans="7:20" x14ac:dyDescent="0.35">
      <c r="G1629" s="3"/>
      <c r="H1629" s="7"/>
      <c r="I1629" s="7"/>
      <c r="J1629" s="7"/>
      <c r="L1629" s="3"/>
      <c r="M1629" s="17"/>
      <c r="T1629" s="2"/>
    </row>
    <row r="1630" spans="7:20" x14ac:dyDescent="0.35">
      <c r="G1630" s="3"/>
      <c r="H1630" s="7"/>
      <c r="I1630" s="7"/>
      <c r="J1630" s="7"/>
      <c r="L1630" s="3"/>
      <c r="M1630" s="17"/>
      <c r="T1630" s="2"/>
    </row>
    <row r="1631" spans="7:20" x14ac:dyDescent="0.35">
      <c r="G1631" s="3"/>
      <c r="H1631" s="7"/>
      <c r="I1631" s="7"/>
      <c r="J1631" s="7"/>
      <c r="L1631" s="3"/>
      <c r="M1631" s="17"/>
      <c r="T1631" s="2"/>
    </row>
    <row r="1632" spans="7:20" x14ac:dyDescent="0.35">
      <c r="G1632" s="3"/>
      <c r="H1632" s="7"/>
      <c r="I1632" s="7"/>
      <c r="J1632" s="7"/>
      <c r="L1632" s="3"/>
      <c r="M1632" s="17"/>
      <c r="T1632" s="2"/>
    </row>
    <row r="1633" spans="7:20" x14ac:dyDescent="0.35">
      <c r="G1633" s="3"/>
      <c r="H1633" s="7"/>
      <c r="I1633" s="7"/>
      <c r="J1633" s="7"/>
      <c r="L1633" s="3"/>
      <c r="M1633" s="17"/>
      <c r="T1633" s="2"/>
    </row>
    <row r="1634" spans="7:20" x14ac:dyDescent="0.35">
      <c r="G1634" s="3"/>
      <c r="H1634" s="7"/>
      <c r="I1634" s="7"/>
      <c r="J1634" s="7"/>
      <c r="L1634" s="3"/>
      <c r="M1634" s="17"/>
      <c r="T1634" s="2"/>
    </row>
    <row r="1635" spans="7:20" x14ac:dyDescent="0.35">
      <c r="G1635" s="3"/>
      <c r="H1635" s="7"/>
      <c r="I1635" s="7"/>
      <c r="J1635" s="7"/>
      <c r="L1635" s="3"/>
      <c r="M1635" s="17"/>
      <c r="T1635" s="2"/>
    </row>
    <row r="1636" spans="7:20" x14ac:dyDescent="0.35">
      <c r="G1636" s="3"/>
      <c r="H1636" s="7"/>
      <c r="I1636" s="7"/>
      <c r="J1636" s="7"/>
      <c r="L1636" s="3"/>
      <c r="M1636" s="17"/>
      <c r="T1636" s="2"/>
    </row>
    <row r="1637" spans="7:20" x14ac:dyDescent="0.35">
      <c r="G1637" s="3"/>
      <c r="H1637" s="7"/>
      <c r="I1637" s="7"/>
      <c r="J1637" s="7"/>
      <c r="L1637" s="3"/>
      <c r="M1637" s="17"/>
      <c r="T1637" s="2"/>
    </row>
    <row r="1638" spans="7:20" x14ac:dyDescent="0.35">
      <c r="G1638" s="3"/>
      <c r="H1638" s="7"/>
      <c r="I1638" s="7"/>
      <c r="J1638" s="7"/>
      <c r="L1638" s="3"/>
      <c r="M1638" s="17"/>
      <c r="T1638" s="2"/>
    </row>
    <row r="1639" spans="7:20" x14ac:dyDescent="0.35">
      <c r="G1639" s="3"/>
      <c r="H1639" s="7"/>
      <c r="I1639" s="7"/>
      <c r="J1639" s="7"/>
      <c r="L1639" s="3"/>
      <c r="M1639" s="17"/>
      <c r="T1639" s="2"/>
    </row>
    <row r="1640" spans="7:20" x14ac:dyDescent="0.35">
      <c r="G1640" s="3"/>
      <c r="H1640" s="7"/>
      <c r="I1640" s="7"/>
      <c r="J1640" s="7"/>
      <c r="L1640" s="3"/>
      <c r="M1640" s="17"/>
      <c r="T1640" s="2"/>
    </row>
    <row r="1641" spans="7:20" x14ac:dyDescent="0.35">
      <c r="G1641" s="3"/>
      <c r="H1641" s="7"/>
      <c r="I1641" s="7"/>
      <c r="J1641" s="7"/>
      <c r="L1641" s="3"/>
      <c r="M1641" s="17"/>
      <c r="T1641" s="2"/>
    </row>
    <row r="1642" spans="7:20" x14ac:dyDescent="0.35">
      <c r="G1642" s="3"/>
      <c r="H1642" s="7"/>
      <c r="I1642" s="7"/>
      <c r="J1642" s="7"/>
      <c r="L1642" s="3"/>
      <c r="M1642" s="17"/>
      <c r="T1642" s="2"/>
    </row>
    <row r="1643" spans="7:20" x14ac:dyDescent="0.35">
      <c r="G1643" s="3"/>
      <c r="H1643" s="7"/>
      <c r="I1643" s="7"/>
      <c r="J1643" s="7"/>
      <c r="L1643" s="3"/>
      <c r="M1643" s="17"/>
      <c r="T1643" s="2"/>
    </row>
    <row r="1644" spans="7:20" x14ac:dyDescent="0.35">
      <c r="G1644" s="3"/>
      <c r="H1644" s="7"/>
      <c r="I1644" s="7"/>
      <c r="J1644" s="7"/>
      <c r="L1644" s="3"/>
      <c r="M1644" s="17"/>
      <c r="T1644" s="2"/>
    </row>
    <row r="1645" spans="7:20" x14ac:dyDescent="0.35">
      <c r="G1645" s="3"/>
      <c r="H1645" s="7"/>
      <c r="I1645" s="7"/>
      <c r="J1645" s="7"/>
      <c r="L1645" s="3"/>
      <c r="M1645" s="17"/>
      <c r="T1645" s="2"/>
    </row>
    <row r="1646" spans="7:20" x14ac:dyDescent="0.35">
      <c r="G1646" s="3"/>
      <c r="H1646" s="7"/>
      <c r="I1646" s="7"/>
      <c r="J1646" s="7"/>
      <c r="L1646" s="3"/>
      <c r="M1646" s="17"/>
      <c r="T1646" s="2"/>
    </row>
    <row r="1647" spans="7:20" x14ac:dyDescent="0.35">
      <c r="G1647" s="3"/>
      <c r="H1647" s="7"/>
      <c r="I1647" s="7"/>
      <c r="J1647" s="7"/>
      <c r="L1647" s="3"/>
      <c r="M1647" s="17"/>
      <c r="T1647" s="2"/>
    </row>
    <row r="1648" spans="7:20" x14ac:dyDescent="0.35">
      <c r="G1648" s="3"/>
      <c r="H1648" s="7"/>
      <c r="I1648" s="7"/>
      <c r="J1648" s="7"/>
      <c r="L1648" s="3"/>
      <c r="M1648" s="17"/>
      <c r="T1648" s="2"/>
    </row>
    <row r="1649" spans="7:20" x14ac:dyDescent="0.35">
      <c r="G1649" s="3"/>
      <c r="H1649" s="7"/>
      <c r="I1649" s="7"/>
      <c r="J1649" s="7"/>
      <c r="L1649" s="3"/>
      <c r="M1649" s="17"/>
      <c r="T1649" s="2"/>
    </row>
    <row r="1650" spans="7:20" x14ac:dyDescent="0.35">
      <c r="G1650" s="3"/>
      <c r="H1650" s="7"/>
      <c r="I1650" s="7"/>
      <c r="J1650" s="7"/>
      <c r="L1650" s="3"/>
      <c r="M1650" s="17"/>
      <c r="T1650" s="2"/>
    </row>
    <row r="1651" spans="7:20" x14ac:dyDescent="0.35">
      <c r="G1651" s="3"/>
      <c r="H1651" s="7"/>
      <c r="I1651" s="7"/>
      <c r="J1651" s="7"/>
      <c r="L1651" s="3"/>
      <c r="M1651" s="17"/>
      <c r="T1651" s="2"/>
    </row>
    <row r="1652" spans="7:20" x14ac:dyDescent="0.35">
      <c r="G1652" s="3"/>
      <c r="H1652" s="7"/>
      <c r="I1652" s="7"/>
      <c r="J1652" s="7"/>
      <c r="L1652" s="3"/>
      <c r="M1652" s="17"/>
      <c r="T1652" s="2"/>
    </row>
    <row r="1653" spans="7:20" x14ac:dyDescent="0.35">
      <c r="G1653" s="3"/>
      <c r="H1653" s="7"/>
      <c r="I1653" s="7"/>
      <c r="J1653" s="7"/>
      <c r="L1653" s="3"/>
      <c r="M1653" s="17"/>
      <c r="T1653" s="2"/>
    </row>
    <row r="1654" spans="7:20" x14ac:dyDescent="0.35">
      <c r="G1654" s="3"/>
      <c r="H1654" s="7"/>
      <c r="I1654" s="7"/>
      <c r="J1654" s="7"/>
      <c r="L1654" s="3"/>
      <c r="M1654" s="17"/>
      <c r="T1654" s="2"/>
    </row>
    <row r="1655" spans="7:20" x14ac:dyDescent="0.35">
      <c r="G1655" s="3"/>
      <c r="H1655" s="7"/>
      <c r="I1655" s="7"/>
      <c r="J1655" s="7"/>
      <c r="L1655" s="3"/>
      <c r="M1655" s="17"/>
      <c r="T1655" s="2"/>
    </row>
    <row r="1656" spans="7:20" x14ac:dyDescent="0.35">
      <c r="G1656" s="3"/>
      <c r="H1656" s="7"/>
      <c r="I1656" s="7"/>
      <c r="J1656" s="7"/>
      <c r="L1656" s="3"/>
      <c r="M1656" s="17"/>
      <c r="T1656" s="2"/>
    </row>
    <row r="1657" spans="7:20" x14ac:dyDescent="0.35">
      <c r="G1657" s="3"/>
      <c r="H1657" s="7"/>
      <c r="I1657" s="7"/>
      <c r="J1657" s="7"/>
      <c r="L1657" s="3"/>
      <c r="M1657" s="17"/>
      <c r="T1657" s="2"/>
    </row>
    <row r="1658" spans="7:20" x14ac:dyDescent="0.35">
      <c r="G1658" s="3"/>
      <c r="H1658" s="7"/>
      <c r="I1658" s="7"/>
      <c r="J1658" s="7"/>
      <c r="L1658" s="3"/>
      <c r="M1658" s="17"/>
      <c r="T1658" s="2"/>
    </row>
    <row r="1659" spans="7:20" x14ac:dyDescent="0.35">
      <c r="G1659" s="3"/>
      <c r="H1659" s="7"/>
      <c r="I1659" s="7"/>
      <c r="J1659" s="7"/>
      <c r="L1659" s="3"/>
      <c r="M1659" s="17"/>
      <c r="T1659" s="2"/>
    </row>
    <row r="1660" spans="7:20" x14ac:dyDescent="0.35">
      <c r="G1660" s="3"/>
      <c r="H1660" s="7"/>
      <c r="I1660" s="7"/>
      <c r="J1660" s="7"/>
      <c r="L1660" s="3"/>
      <c r="M1660" s="17"/>
      <c r="T1660" s="2"/>
    </row>
    <row r="1661" spans="7:20" x14ac:dyDescent="0.35">
      <c r="G1661" s="3"/>
      <c r="H1661" s="7"/>
      <c r="I1661" s="7"/>
      <c r="J1661" s="7"/>
      <c r="L1661" s="3"/>
      <c r="M1661" s="17"/>
      <c r="T1661" s="2"/>
    </row>
    <row r="1662" spans="7:20" x14ac:dyDescent="0.35">
      <c r="G1662" s="3"/>
      <c r="H1662" s="7"/>
      <c r="I1662" s="7"/>
      <c r="J1662" s="7"/>
      <c r="L1662" s="3"/>
      <c r="M1662" s="17"/>
      <c r="T1662" s="2"/>
    </row>
    <row r="1663" spans="7:20" x14ac:dyDescent="0.35">
      <c r="G1663" s="3"/>
      <c r="H1663" s="7"/>
      <c r="I1663" s="7"/>
      <c r="J1663" s="7"/>
      <c r="L1663" s="3"/>
      <c r="M1663" s="17"/>
      <c r="T1663" s="2"/>
    </row>
    <row r="1664" spans="7:20" x14ac:dyDescent="0.35">
      <c r="G1664" s="3"/>
      <c r="H1664" s="7"/>
      <c r="I1664" s="7"/>
      <c r="J1664" s="7"/>
      <c r="L1664" s="3"/>
      <c r="M1664" s="17"/>
      <c r="T1664" s="2"/>
    </row>
    <row r="1665" spans="7:20" x14ac:dyDescent="0.35">
      <c r="G1665" s="3"/>
      <c r="H1665" s="7"/>
      <c r="I1665" s="7"/>
      <c r="J1665" s="7"/>
      <c r="L1665" s="3"/>
      <c r="M1665" s="17"/>
      <c r="T1665" s="2"/>
    </row>
    <row r="1666" spans="7:20" x14ac:dyDescent="0.35">
      <c r="G1666" s="3"/>
      <c r="H1666" s="7"/>
      <c r="I1666" s="7"/>
      <c r="J1666" s="7"/>
      <c r="L1666" s="3"/>
      <c r="M1666" s="17"/>
      <c r="T1666" s="2"/>
    </row>
    <row r="1667" spans="7:20" x14ac:dyDescent="0.35">
      <c r="G1667" s="3"/>
      <c r="H1667" s="7"/>
      <c r="I1667" s="7"/>
      <c r="J1667" s="7"/>
      <c r="L1667" s="3"/>
      <c r="M1667" s="17"/>
      <c r="T1667" s="2"/>
    </row>
    <row r="1668" spans="7:20" x14ac:dyDescent="0.35">
      <c r="G1668" s="3"/>
      <c r="H1668" s="7"/>
      <c r="I1668" s="7"/>
      <c r="J1668" s="7"/>
      <c r="L1668" s="3"/>
      <c r="M1668" s="17"/>
      <c r="T1668" s="2"/>
    </row>
    <row r="1669" spans="7:20" x14ac:dyDescent="0.35">
      <c r="G1669" s="3"/>
      <c r="H1669" s="7"/>
      <c r="I1669" s="7"/>
      <c r="J1669" s="7"/>
      <c r="L1669" s="3"/>
      <c r="M1669" s="17"/>
      <c r="T1669" s="2"/>
    </row>
    <row r="1670" spans="7:20" x14ac:dyDescent="0.35">
      <c r="G1670" s="3"/>
      <c r="H1670" s="7"/>
      <c r="I1670" s="7"/>
      <c r="J1670" s="7"/>
      <c r="L1670" s="3"/>
      <c r="M1670" s="17"/>
      <c r="T1670" s="2"/>
    </row>
    <row r="1671" spans="7:20" x14ac:dyDescent="0.35">
      <c r="G1671" s="3"/>
      <c r="H1671" s="7"/>
      <c r="I1671" s="7"/>
      <c r="J1671" s="7"/>
      <c r="L1671" s="3"/>
      <c r="M1671" s="17"/>
      <c r="T1671" s="2"/>
    </row>
    <row r="1672" spans="7:20" x14ac:dyDescent="0.35">
      <c r="G1672" s="3"/>
      <c r="H1672" s="7"/>
      <c r="I1672" s="7"/>
      <c r="J1672" s="7"/>
      <c r="L1672" s="3"/>
      <c r="M1672" s="17"/>
      <c r="T1672" s="2"/>
    </row>
    <row r="1673" spans="7:20" x14ac:dyDescent="0.35">
      <c r="G1673" s="3"/>
      <c r="H1673" s="7"/>
      <c r="I1673" s="7"/>
      <c r="J1673" s="7"/>
      <c r="L1673" s="3"/>
      <c r="M1673" s="17"/>
      <c r="T1673" s="2"/>
    </row>
    <row r="1674" spans="7:20" x14ac:dyDescent="0.35">
      <c r="G1674" s="3"/>
      <c r="H1674" s="7"/>
      <c r="I1674" s="7"/>
      <c r="J1674" s="7"/>
      <c r="L1674" s="3"/>
      <c r="M1674" s="17"/>
      <c r="T1674" s="2"/>
    </row>
    <row r="1675" spans="7:20" x14ac:dyDescent="0.35">
      <c r="G1675" s="3"/>
      <c r="H1675" s="7"/>
      <c r="I1675" s="7"/>
      <c r="J1675" s="7"/>
      <c r="L1675" s="3"/>
      <c r="M1675" s="17"/>
      <c r="T1675" s="2"/>
    </row>
    <row r="1676" spans="7:20" x14ac:dyDescent="0.35">
      <c r="G1676" s="3"/>
      <c r="H1676" s="7"/>
      <c r="I1676" s="7"/>
      <c r="J1676" s="7"/>
      <c r="L1676" s="3"/>
      <c r="M1676" s="17"/>
      <c r="T1676" s="2"/>
    </row>
    <row r="1677" spans="7:20" x14ac:dyDescent="0.35">
      <c r="G1677" s="3"/>
      <c r="H1677" s="7"/>
      <c r="I1677" s="7"/>
      <c r="J1677" s="7"/>
      <c r="L1677" s="3"/>
      <c r="M1677" s="17"/>
      <c r="T1677" s="2"/>
    </row>
    <row r="1678" spans="7:20" x14ac:dyDescent="0.35">
      <c r="G1678" s="3"/>
      <c r="H1678" s="7"/>
      <c r="I1678" s="7"/>
      <c r="J1678" s="7"/>
      <c r="L1678" s="3"/>
      <c r="M1678" s="17"/>
      <c r="T1678" s="2"/>
    </row>
    <row r="1679" spans="7:20" x14ac:dyDescent="0.35">
      <c r="G1679" s="3"/>
      <c r="H1679" s="7"/>
      <c r="I1679" s="7"/>
      <c r="J1679" s="7"/>
      <c r="L1679" s="3"/>
      <c r="M1679" s="17"/>
      <c r="T1679" s="2"/>
    </row>
    <row r="1680" spans="7:20" x14ac:dyDescent="0.35">
      <c r="G1680" s="3"/>
      <c r="H1680" s="7"/>
      <c r="I1680" s="7"/>
      <c r="J1680" s="7"/>
      <c r="L1680" s="3"/>
      <c r="M1680" s="17"/>
      <c r="T1680" s="2"/>
    </row>
    <row r="1681" spans="7:20" x14ac:dyDescent="0.35">
      <c r="G1681" s="3"/>
      <c r="H1681" s="7"/>
      <c r="I1681" s="7"/>
      <c r="J1681" s="7"/>
      <c r="L1681" s="3"/>
      <c r="M1681" s="17"/>
      <c r="T1681" s="2"/>
    </row>
    <row r="1682" spans="7:20" x14ac:dyDescent="0.35">
      <c r="G1682" s="3"/>
      <c r="H1682" s="7"/>
      <c r="I1682" s="7"/>
      <c r="J1682" s="7"/>
      <c r="L1682" s="3"/>
      <c r="M1682" s="17"/>
      <c r="T1682" s="2"/>
    </row>
    <row r="1683" spans="7:20" x14ac:dyDescent="0.35">
      <c r="G1683" s="3"/>
      <c r="H1683" s="7"/>
      <c r="I1683" s="7"/>
      <c r="J1683" s="7"/>
      <c r="L1683" s="3"/>
      <c r="M1683" s="17"/>
      <c r="T1683" s="2"/>
    </row>
    <row r="1684" spans="7:20" x14ac:dyDescent="0.35">
      <c r="G1684" s="3"/>
      <c r="H1684" s="7"/>
      <c r="I1684" s="7"/>
      <c r="J1684" s="7"/>
      <c r="L1684" s="3"/>
      <c r="M1684" s="17"/>
      <c r="T1684" s="2"/>
    </row>
    <row r="1685" spans="7:20" x14ac:dyDescent="0.35">
      <c r="G1685" s="3"/>
      <c r="H1685" s="7"/>
      <c r="I1685" s="7"/>
      <c r="J1685" s="7"/>
      <c r="L1685" s="3"/>
      <c r="M1685" s="17"/>
      <c r="T1685" s="2"/>
    </row>
    <row r="1686" spans="7:20" x14ac:dyDescent="0.35">
      <c r="G1686" s="3"/>
      <c r="H1686" s="7"/>
      <c r="I1686" s="7"/>
      <c r="J1686" s="7"/>
      <c r="L1686" s="3"/>
      <c r="M1686" s="17"/>
      <c r="T1686" s="2"/>
    </row>
    <row r="1687" spans="7:20" x14ac:dyDescent="0.35">
      <c r="G1687" s="3"/>
      <c r="H1687" s="7"/>
      <c r="I1687" s="7"/>
      <c r="J1687" s="7"/>
      <c r="L1687" s="3"/>
      <c r="M1687" s="17"/>
      <c r="T1687" s="2"/>
    </row>
    <row r="1688" spans="7:20" x14ac:dyDescent="0.35">
      <c r="G1688" s="3"/>
      <c r="H1688" s="7"/>
      <c r="I1688" s="7"/>
      <c r="J1688" s="7"/>
      <c r="L1688" s="3"/>
      <c r="M1688" s="17"/>
      <c r="T1688" s="2"/>
    </row>
    <row r="1689" spans="7:20" x14ac:dyDescent="0.35">
      <c r="G1689" s="3"/>
      <c r="H1689" s="7"/>
      <c r="I1689" s="7"/>
      <c r="J1689" s="7"/>
      <c r="L1689" s="3"/>
      <c r="M1689" s="17"/>
      <c r="T1689" s="2"/>
    </row>
    <row r="1690" spans="7:20" x14ac:dyDescent="0.35">
      <c r="G1690" s="3"/>
      <c r="H1690" s="7"/>
      <c r="I1690" s="7"/>
      <c r="J1690" s="7"/>
      <c r="L1690" s="3"/>
      <c r="M1690" s="17"/>
      <c r="T1690" s="2"/>
    </row>
    <row r="1691" spans="7:20" x14ac:dyDescent="0.35">
      <c r="G1691" s="3"/>
      <c r="H1691" s="7"/>
      <c r="I1691" s="7"/>
      <c r="J1691" s="7"/>
      <c r="L1691" s="3"/>
      <c r="M1691" s="17"/>
      <c r="T1691" s="2"/>
    </row>
    <row r="1692" spans="7:20" x14ac:dyDescent="0.35">
      <c r="G1692" s="3"/>
      <c r="H1692" s="7"/>
      <c r="I1692" s="7"/>
      <c r="J1692" s="7"/>
      <c r="L1692" s="3"/>
      <c r="M1692" s="17"/>
      <c r="T1692" s="2"/>
    </row>
    <row r="1693" spans="7:20" x14ac:dyDescent="0.35">
      <c r="G1693" s="3"/>
      <c r="H1693" s="7"/>
      <c r="I1693" s="7"/>
      <c r="J1693" s="7"/>
      <c r="L1693" s="3"/>
      <c r="M1693" s="17"/>
      <c r="T1693" s="2"/>
    </row>
    <row r="1694" spans="7:20" x14ac:dyDescent="0.35">
      <c r="G1694" s="3"/>
      <c r="H1694" s="7"/>
      <c r="I1694" s="7"/>
      <c r="J1694" s="7"/>
      <c r="L1694" s="3"/>
      <c r="M1694" s="17"/>
      <c r="T1694" s="2"/>
    </row>
    <row r="1695" spans="7:20" x14ac:dyDescent="0.35">
      <c r="G1695" s="3"/>
      <c r="H1695" s="7"/>
      <c r="I1695" s="7"/>
      <c r="J1695" s="7"/>
      <c r="L1695" s="3"/>
      <c r="M1695" s="17"/>
      <c r="T1695" s="2"/>
    </row>
    <row r="1696" spans="7:20" x14ac:dyDescent="0.35">
      <c r="G1696" s="3"/>
      <c r="H1696" s="7"/>
      <c r="I1696" s="7"/>
      <c r="J1696" s="7"/>
      <c r="L1696" s="3"/>
      <c r="M1696" s="17"/>
      <c r="T1696" s="2"/>
    </row>
    <row r="1697" spans="7:20" x14ac:dyDescent="0.35">
      <c r="G1697" s="3"/>
      <c r="H1697" s="7"/>
      <c r="I1697" s="7"/>
      <c r="J1697" s="7"/>
      <c r="L1697" s="3"/>
      <c r="M1697" s="17"/>
      <c r="T1697" s="2"/>
    </row>
    <row r="1698" spans="7:20" x14ac:dyDescent="0.35">
      <c r="G1698" s="3"/>
      <c r="H1698" s="7"/>
      <c r="I1698" s="7"/>
      <c r="J1698" s="7"/>
      <c r="L1698" s="3"/>
      <c r="M1698" s="17"/>
      <c r="T1698" s="2"/>
    </row>
    <row r="1699" spans="7:20" x14ac:dyDescent="0.35">
      <c r="G1699" s="3"/>
      <c r="H1699" s="7"/>
      <c r="I1699" s="7"/>
      <c r="J1699" s="7"/>
      <c r="L1699" s="3"/>
      <c r="M1699" s="17"/>
      <c r="T1699" s="2"/>
    </row>
    <row r="1700" spans="7:20" x14ac:dyDescent="0.35">
      <c r="G1700" s="3"/>
      <c r="H1700" s="7"/>
      <c r="I1700" s="7"/>
      <c r="J1700" s="7"/>
      <c r="L1700" s="3"/>
      <c r="M1700" s="17"/>
      <c r="T1700" s="2"/>
    </row>
    <row r="1701" spans="7:20" x14ac:dyDescent="0.35">
      <c r="G1701" s="3"/>
      <c r="H1701" s="7"/>
      <c r="I1701" s="7"/>
      <c r="J1701" s="7"/>
      <c r="L1701" s="3"/>
      <c r="M1701" s="17"/>
      <c r="T1701" s="2"/>
    </row>
    <row r="1702" spans="7:20" x14ac:dyDescent="0.35">
      <c r="G1702" s="3"/>
      <c r="H1702" s="7"/>
      <c r="I1702" s="7"/>
      <c r="J1702" s="7"/>
      <c r="L1702" s="3"/>
      <c r="M1702" s="17"/>
      <c r="T1702" s="2"/>
    </row>
    <row r="1703" spans="7:20" x14ac:dyDescent="0.35">
      <c r="G1703" s="3"/>
      <c r="H1703" s="7"/>
      <c r="I1703" s="7"/>
      <c r="J1703" s="7"/>
      <c r="L1703" s="3"/>
      <c r="M1703" s="17"/>
      <c r="T1703" s="2"/>
    </row>
    <row r="1704" spans="7:20" x14ac:dyDescent="0.35">
      <c r="G1704" s="3"/>
      <c r="H1704" s="7"/>
      <c r="I1704" s="7"/>
      <c r="J1704" s="7"/>
      <c r="L1704" s="3"/>
      <c r="M1704" s="17"/>
      <c r="T1704" s="2"/>
    </row>
    <row r="1705" spans="7:20" x14ac:dyDescent="0.35">
      <c r="G1705" s="3"/>
      <c r="H1705" s="7"/>
      <c r="I1705" s="7"/>
      <c r="J1705" s="7"/>
      <c r="L1705" s="3"/>
      <c r="M1705" s="17"/>
      <c r="T1705" s="2"/>
    </row>
    <row r="1706" spans="7:20" x14ac:dyDescent="0.35">
      <c r="G1706" s="3"/>
      <c r="H1706" s="7"/>
      <c r="I1706" s="7"/>
      <c r="J1706" s="7"/>
      <c r="L1706" s="3"/>
      <c r="M1706" s="17"/>
      <c r="T1706" s="2"/>
    </row>
    <row r="1707" spans="7:20" x14ac:dyDescent="0.35">
      <c r="G1707" s="3"/>
      <c r="H1707" s="7"/>
      <c r="I1707" s="7"/>
      <c r="J1707" s="7"/>
      <c r="L1707" s="3"/>
      <c r="M1707" s="17"/>
      <c r="T1707" s="2"/>
    </row>
    <row r="1708" spans="7:20" x14ac:dyDescent="0.35">
      <c r="G1708" s="3"/>
      <c r="H1708" s="7"/>
      <c r="I1708" s="7"/>
      <c r="J1708" s="7"/>
      <c r="L1708" s="3"/>
      <c r="M1708" s="17"/>
      <c r="T1708" s="2"/>
    </row>
    <row r="1709" spans="7:20" x14ac:dyDescent="0.35">
      <c r="G1709" s="3"/>
      <c r="H1709" s="7"/>
      <c r="I1709" s="7"/>
      <c r="J1709" s="7"/>
      <c r="L1709" s="3"/>
      <c r="M1709" s="17"/>
      <c r="T1709" s="2"/>
    </row>
    <row r="1710" spans="7:20" x14ac:dyDescent="0.35">
      <c r="G1710" s="3"/>
      <c r="H1710" s="7"/>
      <c r="I1710" s="7"/>
      <c r="J1710" s="7"/>
      <c r="L1710" s="3"/>
      <c r="M1710" s="17"/>
      <c r="T1710" s="2"/>
    </row>
    <row r="1711" spans="7:20" x14ac:dyDescent="0.35">
      <c r="G1711" s="3"/>
      <c r="H1711" s="7"/>
      <c r="I1711" s="7"/>
      <c r="J1711" s="7"/>
      <c r="L1711" s="3"/>
      <c r="M1711" s="17"/>
      <c r="T1711" s="2"/>
    </row>
    <row r="1712" spans="7:20" x14ac:dyDescent="0.35">
      <c r="G1712" s="3"/>
      <c r="H1712" s="7"/>
      <c r="I1712" s="7"/>
      <c r="J1712" s="7"/>
      <c r="L1712" s="3"/>
      <c r="M1712" s="17"/>
      <c r="T1712" s="2"/>
    </row>
    <row r="1713" spans="7:20" x14ac:dyDescent="0.35">
      <c r="G1713" s="3"/>
      <c r="H1713" s="7"/>
      <c r="I1713" s="7"/>
      <c r="J1713" s="7"/>
      <c r="L1713" s="3"/>
      <c r="M1713" s="17"/>
      <c r="T1713" s="2"/>
    </row>
    <row r="1714" spans="7:20" x14ac:dyDescent="0.35">
      <c r="G1714" s="3"/>
      <c r="H1714" s="7"/>
      <c r="I1714" s="7"/>
      <c r="J1714" s="7"/>
      <c r="L1714" s="3"/>
      <c r="M1714" s="17"/>
      <c r="T1714" s="2"/>
    </row>
    <row r="1715" spans="7:20" x14ac:dyDescent="0.35">
      <c r="G1715" s="3"/>
      <c r="H1715" s="7"/>
      <c r="I1715" s="7"/>
      <c r="J1715" s="7"/>
      <c r="L1715" s="3"/>
      <c r="M1715" s="17"/>
      <c r="T1715" s="2"/>
    </row>
    <row r="1716" spans="7:20" x14ac:dyDescent="0.35">
      <c r="G1716" s="3"/>
      <c r="H1716" s="7"/>
      <c r="I1716" s="7"/>
      <c r="J1716" s="7"/>
      <c r="L1716" s="3"/>
      <c r="M1716" s="17"/>
      <c r="T1716" s="2"/>
    </row>
    <row r="1717" spans="7:20" x14ac:dyDescent="0.35">
      <c r="G1717" s="3"/>
      <c r="H1717" s="7"/>
      <c r="I1717" s="7"/>
      <c r="J1717" s="7"/>
      <c r="L1717" s="3"/>
      <c r="M1717" s="17"/>
      <c r="T1717" s="2"/>
    </row>
    <row r="1718" spans="7:20" x14ac:dyDescent="0.35">
      <c r="G1718" s="3"/>
      <c r="H1718" s="7"/>
      <c r="I1718" s="7"/>
      <c r="J1718" s="7"/>
      <c r="L1718" s="3"/>
      <c r="M1718" s="17"/>
      <c r="T1718" s="2"/>
    </row>
    <row r="1719" spans="7:20" x14ac:dyDescent="0.35">
      <c r="G1719" s="3"/>
      <c r="H1719" s="7"/>
      <c r="I1719" s="7"/>
      <c r="J1719" s="7"/>
      <c r="L1719" s="3"/>
      <c r="M1719" s="17"/>
      <c r="T1719" s="2"/>
    </row>
    <row r="1720" spans="7:20" x14ac:dyDescent="0.35">
      <c r="G1720" s="3"/>
      <c r="H1720" s="7"/>
      <c r="I1720" s="7"/>
      <c r="J1720" s="7"/>
      <c r="L1720" s="3"/>
      <c r="M1720" s="17"/>
      <c r="T1720" s="2"/>
    </row>
    <row r="1721" spans="7:20" x14ac:dyDescent="0.35">
      <c r="G1721" s="3"/>
      <c r="H1721" s="7"/>
      <c r="I1721" s="7"/>
      <c r="J1721" s="7"/>
      <c r="L1721" s="3"/>
      <c r="M1721" s="17"/>
      <c r="T1721" s="2"/>
    </row>
    <row r="1722" spans="7:20" x14ac:dyDescent="0.35">
      <c r="G1722" s="3"/>
      <c r="H1722" s="7"/>
      <c r="I1722" s="7"/>
      <c r="J1722" s="7"/>
      <c r="L1722" s="3"/>
      <c r="M1722" s="17"/>
      <c r="T1722" s="2"/>
    </row>
    <row r="1723" spans="7:20" x14ac:dyDescent="0.35">
      <c r="G1723" s="3"/>
      <c r="H1723" s="7"/>
      <c r="I1723" s="7"/>
      <c r="J1723" s="7"/>
      <c r="L1723" s="3"/>
      <c r="M1723" s="17"/>
      <c r="T1723" s="2"/>
    </row>
    <row r="1724" spans="7:20" x14ac:dyDescent="0.35">
      <c r="G1724" s="3"/>
      <c r="H1724" s="7"/>
      <c r="I1724" s="7"/>
      <c r="J1724" s="7"/>
      <c r="L1724" s="3"/>
      <c r="M1724" s="17"/>
      <c r="T1724" s="2"/>
    </row>
    <row r="1725" spans="7:20" x14ac:dyDescent="0.35">
      <c r="G1725" s="3"/>
      <c r="H1725" s="7"/>
      <c r="I1725" s="7"/>
      <c r="J1725" s="7"/>
      <c r="L1725" s="3"/>
      <c r="M1725" s="17"/>
      <c r="T1725" s="2"/>
    </row>
    <row r="1726" spans="7:20" x14ac:dyDescent="0.35">
      <c r="G1726" s="3"/>
      <c r="H1726" s="7"/>
      <c r="I1726" s="7"/>
      <c r="J1726" s="7"/>
      <c r="L1726" s="3"/>
      <c r="M1726" s="17"/>
      <c r="T1726" s="2"/>
    </row>
    <row r="1727" spans="7:20" x14ac:dyDescent="0.35">
      <c r="G1727" s="3"/>
      <c r="H1727" s="7"/>
      <c r="I1727" s="7"/>
      <c r="J1727" s="7"/>
      <c r="L1727" s="3"/>
      <c r="M1727" s="17"/>
      <c r="T1727" s="2"/>
    </row>
    <row r="1728" spans="7:20" x14ac:dyDescent="0.35">
      <c r="G1728" s="3"/>
      <c r="H1728" s="7"/>
      <c r="I1728" s="7"/>
      <c r="J1728" s="7"/>
      <c r="L1728" s="3"/>
      <c r="M1728" s="17"/>
      <c r="T1728" s="2"/>
    </row>
    <row r="1729" spans="7:20" x14ac:dyDescent="0.35">
      <c r="G1729" s="3"/>
      <c r="H1729" s="7"/>
      <c r="I1729" s="7"/>
      <c r="J1729" s="7"/>
      <c r="L1729" s="26"/>
      <c r="M1729" s="17"/>
      <c r="T1729" s="2"/>
    </row>
    <row r="1730" spans="7:20" x14ac:dyDescent="0.35">
      <c r="G1730" s="3"/>
      <c r="H1730" s="7"/>
      <c r="I1730" s="7"/>
      <c r="J1730" s="7"/>
      <c r="L1730" s="26"/>
      <c r="M1730" s="17"/>
      <c r="T1730" s="2"/>
    </row>
    <row r="1731" spans="7:20" x14ac:dyDescent="0.35">
      <c r="G1731" s="3"/>
      <c r="H1731" s="7"/>
      <c r="I1731" s="7"/>
      <c r="J1731" s="7"/>
      <c r="L1731" s="26"/>
      <c r="M1731" s="17"/>
      <c r="T1731" s="2"/>
    </row>
    <row r="1732" spans="7:20" x14ac:dyDescent="0.35">
      <c r="G1732" s="3"/>
      <c r="H1732" s="7"/>
      <c r="I1732" s="7"/>
      <c r="J1732" s="7"/>
      <c r="L1732" s="26"/>
      <c r="M1732" s="17"/>
      <c r="T1732" s="2"/>
    </row>
    <row r="1733" spans="7:20" x14ac:dyDescent="0.35">
      <c r="G1733" s="3"/>
      <c r="H1733" s="7"/>
      <c r="I1733" s="7"/>
      <c r="J1733" s="7"/>
      <c r="L1733" s="26"/>
      <c r="M1733" s="17"/>
      <c r="T1733" s="2"/>
    </row>
    <row r="1734" spans="7:20" x14ac:dyDescent="0.35">
      <c r="G1734" s="3"/>
      <c r="H1734" s="7"/>
      <c r="I1734" s="7"/>
      <c r="J1734" s="7"/>
      <c r="L1734" s="26"/>
      <c r="M1734" s="17"/>
      <c r="T1734" s="2"/>
    </row>
    <row r="1735" spans="7:20" x14ac:dyDescent="0.35">
      <c r="G1735" s="3"/>
      <c r="H1735" s="7"/>
      <c r="I1735" s="7"/>
      <c r="J1735" s="7"/>
      <c r="L1735" s="26"/>
      <c r="M1735" s="17"/>
      <c r="T1735" s="2"/>
    </row>
    <row r="1736" spans="7:20" x14ac:dyDescent="0.35">
      <c r="G1736" s="3"/>
      <c r="H1736" s="7"/>
      <c r="I1736" s="7"/>
      <c r="J1736" s="7"/>
      <c r="L1736" s="26"/>
      <c r="M1736" s="17"/>
      <c r="T1736" s="2"/>
    </row>
    <row r="1737" spans="7:20" x14ac:dyDescent="0.35">
      <c r="G1737" s="3"/>
      <c r="H1737" s="7"/>
      <c r="I1737" s="7"/>
      <c r="J1737" s="7"/>
      <c r="L1737" s="26"/>
      <c r="M1737" s="17"/>
      <c r="T1737" s="2"/>
    </row>
    <row r="1738" spans="7:20" x14ac:dyDescent="0.35">
      <c r="G1738" s="3"/>
      <c r="H1738" s="7"/>
      <c r="I1738" s="7"/>
      <c r="J1738" s="7"/>
      <c r="L1738" s="3"/>
      <c r="M1738" s="17"/>
      <c r="T1738" s="2"/>
    </row>
    <row r="1739" spans="7:20" x14ac:dyDescent="0.35">
      <c r="G1739" s="3"/>
      <c r="H1739" s="7"/>
      <c r="I1739" s="7"/>
      <c r="J1739" s="7"/>
      <c r="L1739" s="3"/>
      <c r="M1739" s="17"/>
      <c r="T1739" s="2"/>
    </row>
    <row r="1740" spans="7:20" x14ac:dyDescent="0.35">
      <c r="G1740" s="3"/>
      <c r="H1740" s="7"/>
      <c r="I1740" s="7"/>
      <c r="J1740" s="7"/>
      <c r="L1740" s="3"/>
      <c r="M1740" s="17"/>
      <c r="T1740" s="2"/>
    </row>
    <row r="1741" spans="7:20" x14ac:dyDescent="0.35">
      <c r="G1741" s="3"/>
      <c r="H1741" s="7"/>
      <c r="I1741" s="7"/>
      <c r="J1741" s="7"/>
      <c r="L1741" s="3"/>
      <c r="M1741" s="17"/>
      <c r="T1741" s="2"/>
    </row>
    <row r="1742" spans="7:20" x14ac:dyDescent="0.35">
      <c r="G1742" s="3"/>
      <c r="H1742" s="7"/>
      <c r="I1742" s="7"/>
      <c r="J1742" s="7"/>
      <c r="L1742" s="3"/>
      <c r="M1742" s="17"/>
      <c r="T1742" s="2"/>
    </row>
    <row r="1743" spans="7:20" x14ac:dyDescent="0.35">
      <c r="G1743" s="3"/>
      <c r="H1743" s="7"/>
      <c r="I1743" s="7"/>
      <c r="J1743" s="7"/>
      <c r="L1743" s="3"/>
      <c r="M1743" s="17"/>
      <c r="T1743" s="2"/>
    </row>
    <row r="1744" spans="7:20" x14ac:dyDescent="0.35">
      <c r="G1744" s="3"/>
      <c r="H1744" s="7"/>
      <c r="I1744" s="7"/>
      <c r="J1744" s="7"/>
      <c r="L1744" s="3"/>
      <c r="M1744" s="17"/>
      <c r="T1744" s="2"/>
    </row>
    <row r="1745" spans="7:20" x14ac:dyDescent="0.35">
      <c r="G1745" s="3"/>
      <c r="H1745" s="7"/>
      <c r="I1745" s="7"/>
      <c r="J1745" s="7"/>
      <c r="L1745" s="3"/>
      <c r="M1745" s="17"/>
      <c r="T1745" s="2"/>
    </row>
    <row r="1746" spans="7:20" x14ac:dyDescent="0.35">
      <c r="G1746" s="3"/>
      <c r="H1746" s="7"/>
      <c r="I1746" s="7"/>
      <c r="J1746" s="7"/>
      <c r="L1746" s="3"/>
      <c r="M1746" s="17"/>
      <c r="T1746" s="2"/>
    </row>
    <row r="1747" spans="7:20" x14ac:dyDescent="0.35">
      <c r="G1747" s="3"/>
      <c r="H1747" s="7"/>
      <c r="I1747" s="7"/>
      <c r="J1747" s="7"/>
      <c r="L1747" s="3"/>
      <c r="M1747" s="17"/>
      <c r="T1747" s="2"/>
    </row>
    <row r="1748" spans="7:20" x14ac:dyDescent="0.35">
      <c r="G1748" s="3"/>
      <c r="H1748" s="7"/>
      <c r="I1748" s="7"/>
      <c r="J1748" s="7"/>
      <c r="L1748" s="3"/>
      <c r="M1748" s="17"/>
      <c r="T1748" s="2"/>
    </row>
    <row r="1749" spans="7:20" x14ac:dyDescent="0.35">
      <c r="G1749" s="3"/>
      <c r="H1749" s="7"/>
      <c r="I1749" s="7"/>
      <c r="J1749" s="7"/>
      <c r="L1749" s="3"/>
      <c r="M1749" s="17"/>
      <c r="T1749" s="2"/>
    </row>
    <row r="1750" spans="7:20" x14ac:dyDescent="0.35">
      <c r="G1750" s="3"/>
      <c r="H1750" s="7"/>
      <c r="I1750" s="7"/>
      <c r="J1750" s="7"/>
      <c r="L1750" s="3"/>
      <c r="M1750" s="17"/>
      <c r="T1750" s="2"/>
    </row>
    <row r="1751" spans="7:20" x14ac:dyDescent="0.35">
      <c r="G1751" s="3"/>
      <c r="H1751" s="7"/>
      <c r="I1751" s="7"/>
      <c r="J1751" s="7"/>
      <c r="L1751" s="3"/>
      <c r="M1751" s="17"/>
      <c r="T1751" s="2"/>
    </row>
    <row r="1752" spans="7:20" x14ac:dyDescent="0.35">
      <c r="G1752" s="3"/>
      <c r="H1752" s="7"/>
      <c r="I1752" s="7"/>
      <c r="J1752" s="7"/>
      <c r="L1752" s="3"/>
      <c r="M1752" s="17"/>
      <c r="T1752" s="2"/>
    </row>
    <row r="1753" spans="7:20" x14ac:dyDescent="0.35">
      <c r="G1753" s="3"/>
      <c r="H1753" s="7"/>
      <c r="I1753" s="7"/>
      <c r="J1753" s="7"/>
      <c r="L1753" s="3"/>
      <c r="M1753" s="17"/>
      <c r="T1753" s="2"/>
    </row>
    <row r="1754" spans="7:20" x14ac:dyDescent="0.35">
      <c r="G1754" s="3"/>
      <c r="H1754" s="7"/>
      <c r="I1754" s="7"/>
      <c r="J1754" s="7"/>
      <c r="L1754" s="3"/>
      <c r="M1754" s="17"/>
      <c r="T1754" s="2"/>
    </row>
    <row r="1755" spans="7:20" x14ac:dyDescent="0.35">
      <c r="G1755" s="3"/>
      <c r="H1755" s="7"/>
      <c r="I1755" s="7"/>
      <c r="J1755" s="7"/>
      <c r="L1755" s="26"/>
      <c r="M1755" s="17"/>
      <c r="T1755" s="2"/>
    </row>
    <row r="1756" spans="7:20" x14ac:dyDescent="0.35">
      <c r="G1756" s="3"/>
      <c r="H1756" s="7"/>
      <c r="I1756" s="7"/>
      <c r="J1756" s="7"/>
      <c r="L1756" s="26"/>
      <c r="M1756" s="17"/>
      <c r="T1756" s="2"/>
    </row>
    <row r="1757" spans="7:20" x14ac:dyDescent="0.35">
      <c r="G1757" s="3"/>
      <c r="H1757" s="7"/>
      <c r="I1757" s="7"/>
      <c r="J1757" s="7"/>
      <c r="L1757" s="26"/>
      <c r="M1757" s="17"/>
      <c r="T1757" s="2"/>
    </row>
    <row r="1758" spans="7:20" x14ac:dyDescent="0.35">
      <c r="G1758" s="3"/>
      <c r="H1758" s="7"/>
      <c r="I1758" s="7"/>
      <c r="J1758" s="7"/>
      <c r="L1758" s="3"/>
      <c r="M1758" s="17"/>
      <c r="T1758" s="2"/>
    </row>
    <row r="1759" spans="7:20" x14ac:dyDescent="0.35">
      <c r="G1759" s="3"/>
      <c r="H1759" s="7"/>
      <c r="I1759" s="7"/>
      <c r="J1759" s="7"/>
      <c r="L1759" s="3"/>
      <c r="M1759" s="17"/>
      <c r="T1759" s="2"/>
    </row>
    <row r="1760" spans="7:20" x14ac:dyDescent="0.35">
      <c r="G1760" s="3"/>
      <c r="H1760" s="7"/>
      <c r="I1760" s="7"/>
      <c r="J1760" s="7"/>
      <c r="L1760" s="3"/>
      <c r="M1760" s="17"/>
      <c r="T1760" s="2"/>
    </row>
    <row r="1761" spans="7:20" x14ac:dyDescent="0.35">
      <c r="G1761" s="3"/>
      <c r="H1761" s="7"/>
      <c r="I1761" s="7"/>
      <c r="J1761" s="7"/>
      <c r="L1761" s="3"/>
      <c r="M1761" s="17"/>
      <c r="T1761" s="2"/>
    </row>
    <row r="1762" spans="7:20" x14ac:dyDescent="0.35">
      <c r="G1762" s="3"/>
      <c r="H1762" s="7"/>
      <c r="I1762" s="7"/>
      <c r="J1762" s="7"/>
      <c r="L1762" s="3"/>
      <c r="M1762" s="17"/>
      <c r="T1762" s="2"/>
    </row>
    <row r="1763" spans="7:20" x14ac:dyDescent="0.35">
      <c r="G1763" s="3"/>
      <c r="H1763" s="7"/>
      <c r="I1763" s="7"/>
      <c r="J1763" s="7"/>
      <c r="L1763" s="3"/>
      <c r="M1763" s="17"/>
      <c r="T1763" s="2"/>
    </row>
    <row r="1764" spans="7:20" x14ac:dyDescent="0.35">
      <c r="G1764" s="3"/>
      <c r="H1764" s="7"/>
      <c r="I1764" s="7"/>
      <c r="J1764" s="7"/>
      <c r="L1764" s="3"/>
      <c r="M1764" s="17"/>
      <c r="T1764" s="2"/>
    </row>
    <row r="1765" spans="7:20" x14ac:dyDescent="0.35">
      <c r="G1765" s="3"/>
      <c r="H1765" s="7"/>
      <c r="I1765" s="7"/>
      <c r="J1765" s="7"/>
      <c r="L1765" s="3"/>
      <c r="M1765" s="17"/>
      <c r="T1765" s="2"/>
    </row>
    <row r="1766" spans="7:20" x14ac:dyDescent="0.35">
      <c r="G1766" s="3"/>
      <c r="H1766" s="7"/>
      <c r="I1766" s="7"/>
      <c r="J1766" s="7"/>
      <c r="L1766" s="3"/>
      <c r="M1766" s="17"/>
      <c r="T1766" s="2"/>
    </row>
    <row r="1767" spans="7:20" x14ac:dyDescent="0.35">
      <c r="G1767" s="3"/>
      <c r="H1767" s="7"/>
      <c r="I1767" s="7"/>
      <c r="J1767" s="7"/>
      <c r="L1767" s="3"/>
      <c r="M1767" s="17"/>
      <c r="T1767" s="2"/>
    </row>
    <row r="1768" spans="7:20" x14ac:dyDescent="0.35">
      <c r="G1768" s="3"/>
      <c r="H1768" s="7"/>
      <c r="I1768" s="7"/>
      <c r="J1768" s="7"/>
      <c r="L1768" s="3"/>
      <c r="M1768" s="17"/>
      <c r="T1768" s="2"/>
    </row>
    <row r="1769" spans="7:20" x14ac:dyDescent="0.35">
      <c r="G1769" s="3"/>
      <c r="H1769" s="7"/>
      <c r="I1769" s="7"/>
      <c r="J1769" s="7"/>
      <c r="L1769" s="3"/>
      <c r="M1769" s="17"/>
      <c r="T1769" s="2"/>
    </row>
    <row r="1770" spans="7:20" x14ac:dyDescent="0.35">
      <c r="G1770" s="3"/>
      <c r="H1770" s="7"/>
      <c r="I1770" s="7"/>
      <c r="J1770" s="7"/>
      <c r="L1770" s="3"/>
      <c r="M1770" s="17"/>
      <c r="T1770" s="2"/>
    </row>
    <row r="1771" spans="7:20" x14ac:dyDescent="0.35">
      <c r="G1771" s="3"/>
      <c r="H1771" s="7"/>
      <c r="I1771" s="7"/>
      <c r="J1771" s="7"/>
      <c r="L1771" s="3"/>
      <c r="M1771" s="17"/>
      <c r="T1771" s="2"/>
    </row>
    <row r="1772" spans="7:20" x14ac:dyDescent="0.35">
      <c r="G1772" s="3"/>
      <c r="H1772" s="7"/>
      <c r="I1772" s="7"/>
      <c r="J1772" s="7"/>
      <c r="L1772" s="3"/>
      <c r="M1772" s="17"/>
      <c r="T1772" s="2"/>
    </row>
    <row r="1773" spans="7:20" x14ac:dyDescent="0.35">
      <c r="G1773" s="3"/>
      <c r="H1773" s="7"/>
      <c r="I1773" s="7"/>
      <c r="J1773" s="7"/>
      <c r="L1773" s="3"/>
      <c r="M1773" s="17"/>
      <c r="T1773" s="2"/>
    </row>
    <row r="1774" spans="7:20" x14ac:dyDescent="0.35">
      <c r="G1774" s="3"/>
      <c r="H1774" s="7"/>
      <c r="I1774" s="7"/>
      <c r="J1774" s="7"/>
      <c r="L1774" s="3"/>
      <c r="M1774" s="17"/>
      <c r="T1774" s="2"/>
    </row>
    <row r="1775" spans="7:20" x14ac:dyDescent="0.35">
      <c r="G1775" s="3"/>
      <c r="H1775" s="7"/>
      <c r="I1775" s="7"/>
      <c r="J1775" s="7"/>
      <c r="L1775" s="3"/>
      <c r="M1775" s="17"/>
      <c r="T1775" s="2"/>
    </row>
    <row r="1776" spans="7:20" x14ac:dyDescent="0.35">
      <c r="G1776" s="3"/>
      <c r="H1776" s="7"/>
      <c r="I1776" s="7"/>
      <c r="J1776" s="7"/>
      <c r="L1776" s="3"/>
      <c r="M1776" s="17"/>
      <c r="T1776" s="2"/>
    </row>
    <row r="1777" spans="7:20" x14ac:dyDescent="0.35">
      <c r="G1777" s="3"/>
      <c r="H1777" s="7"/>
      <c r="I1777" s="7"/>
      <c r="J1777" s="7"/>
      <c r="L1777" s="3"/>
      <c r="M1777" s="17"/>
      <c r="T1777" s="2"/>
    </row>
    <row r="1778" spans="7:20" x14ac:dyDescent="0.35">
      <c r="G1778" s="3"/>
      <c r="H1778" s="7"/>
      <c r="I1778" s="7"/>
      <c r="J1778" s="7"/>
      <c r="L1778" s="3"/>
      <c r="M1778" s="17"/>
      <c r="T1778" s="2"/>
    </row>
    <row r="1779" spans="7:20" x14ac:dyDescent="0.35">
      <c r="G1779" s="3"/>
      <c r="H1779" s="7"/>
      <c r="I1779" s="7"/>
      <c r="J1779" s="7"/>
      <c r="L1779" s="3"/>
      <c r="M1779" s="17"/>
      <c r="T1779" s="2"/>
    </row>
    <row r="1780" spans="7:20" x14ac:dyDescent="0.35">
      <c r="G1780" s="3"/>
      <c r="H1780" s="7"/>
      <c r="I1780" s="7"/>
      <c r="J1780" s="7"/>
      <c r="L1780" s="3"/>
      <c r="M1780" s="17"/>
      <c r="T1780" s="2"/>
    </row>
    <row r="1781" spans="7:20" x14ac:dyDescent="0.35">
      <c r="G1781" s="3"/>
      <c r="H1781" s="7"/>
      <c r="I1781" s="7"/>
      <c r="J1781" s="7"/>
      <c r="L1781" s="26"/>
      <c r="M1781" s="17"/>
      <c r="T1781" s="2"/>
    </row>
    <row r="1782" spans="7:20" x14ac:dyDescent="0.35">
      <c r="G1782" s="3"/>
      <c r="H1782" s="7"/>
      <c r="I1782" s="7"/>
      <c r="J1782" s="7"/>
      <c r="L1782" s="26"/>
      <c r="M1782" s="17"/>
      <c r="T1782" s="2"/>
    </row>
    <row r="1783" spans="7:20" x14ac:dyDescent="0.35">
      <c r="G1783" s="3"/>
      <c r="H1783" s="7"/>
      <c r="I1783" s="7"/>
      <c r="J1783" s="7"/>
      <c r="L1783" s="3"/>
      <c r="M1783" s="17"/>
      <c r="T1783" s="2"/>
    </row>
    <row r="1784" spans="7:20" x14ac:dyDescent="0.35">
      <c r="G1784" s="3"/>
      <c r="H1784" s="7"/>
      <c r="I1784" s="7"/>
      <c r="J1784" s="7"/>
      <c r="L1784" s="3"/>
      <c r="M1784" s="17"/>
      <c r="T1784" s="2"/>
    </row>
    <row r="1785" spans="7:20" x14ac:dyDescent="0.35">
      <c r="G1785" s="3"/>
      <c r="H1785" s="7"/>
      <c r="I1785" s="7"/>
      <c r="J1785" s="7"/>
      <c r="L1785" s="3"/>
      <c r="M1785" s="17"/>
      <c r="T1785" s="2"/>
    </row>
    <row r="1786" spans="7:20" x14ac:dyDescent="0.35">
      <c r="G1786" s="3"/>
      <c r="H1786" s="7"/>
      <c r="I1786" s="7"/>
      <c r="J1786" s="7"/>
      <c r="L1786" s="3"/>
      <c r="M1786" s="17"/>
      <c r="T1786" s="2"/>
    </row>
    <row r="1787" spans="7:20" x14ac:dyDescent="0.35">
      <c r="G1787" s="3"/>
      <c r="H1787" s="7"/>
      <c r="I1787" s="7"/>
      <c r="J1787" s="7"/>
      <c r="L1787" s="3"/>
      <c r="M1787" s="17"/>
      <c r="T1787" s="2"/>
    </row>
    <row r="1788" spans="7:20" x14ac:dyDescent="0.35">
      <c r="G1788" s="3"/>
      <c r="H1788" s="7"/>
      <c r="I1788" s="7"/>
      <c r="J1788" s="7"/>
      <c r="L1788" s="3"/>
      <c r="M1788" s="17"/>
      <c r="T1788" s="2"/>
    </row>
    <row r="1789" spans="7:20" x14ac:dyDescent="0.35">
      <c r="G1789" s="3"/>
      <c r="H1789" s="7"/>
      <c r="I1789" s="7"/>
      <c r="J1789" s="7"/>
      <c r="L1789" s="3"/>
      <c r="M1789" s="17"/>
      <c r="T1789" s="2"/>
    </row>
    <row r="1790" spans="7:20" x14ac:dyDescent="0.35">
      <c r="G1790" s="3"/>
      <c r="H1790" s="7"/>
      <c r="I1790" s="7"/>
      <c r="J1790" s="7"/>
      <c r="L1790" s="3"/>
      <c r="M1790" s="17"/>
      <c r="T1790" s="2"/>
    </row>
    <row r="1791" spans="7:20" x14ac:dyDescent="0.35">
      <c r="G1791" s="3"/>
      <c r="H1791" s="7"/>
      <c r="I1791" s="7"/>
      <c r="J1791" s="7"/>
      <c r="L1791" s="3"/>
      <c r="M1791" s="17"/>
      <c r="T1791" s="2"/>
    </row>
    <row r="1792" spans="7:20" x14ac:dyDescent="0.35">
      <c r="G1792" s="3"/>
      <c r="H1792" s="7"/>
      <c r="I1792" s="7"/>
      <c r="J1792" s="7"/>
      <c r="L1792" s="3"/>
      <c r="M1792" s="17"/>
      <c r="T1792" s="2"/>
    </row>
    <row r="1793" spans="7:20" x14ac:dyDescent="0.35">
      <c r="G1793" s="3"/>
      <c r="H1793" s="7"/>
      <c r="I1793" s="7"/>
      <c r="J1793" s="7"/>
      <c r="L1793" s="3"/>
      <c r="M1793" s="17"/>
      <c r="T1793" s="2"/>
    </row>
    <row r="1794" spans="7:20" x14ac:dyDescent="0.35">
      <c r="G1794" s="3"/>
      <c r="H1794" s="7"/>
      <c r="I1794" s="7"/>
      <c r="J1794" s="7"/>
      <c r="L1794" s="3"/>
      <c r="M1794" s="17"/>
      <c r="T1794" s="2"/>
    </row>
    <row r="1795" spans="7:20" x14ac:dyDescent="0.35">
      <c r="G1795" s="3"/>
      <c r="H1795" s="7"/>
      <c r="I1795" s="7"/>
      <c r="J1795" s="7"/>
      <c r="L1795" s="3"/>
      <c r="M1795" s="17"/>
      <c r="T1795" s="2"/>
    </row>
    <row r="1796" spans="7:20" x14ac:dyDescent="0.35">
      <c r="G1796" s="3"/>
      <c r="H1796" s="7"/>
      <c r="I1796" s="7"/>
      <c r="J1796" s="7"/>
      <c r="L1796" s="3"/>
      <c r="M1796" s="17"/>
      <c r="T1796" s="2"/>
    </row>
    <row r="1797" spans="7:20" x14ac:dyDescent="0.35">
      <c r="G1797" s="3"/>
      <c r="H1797" s="7"/>
      <c r="I1797" s="7"/>
      <c r="J1797" s="7"/>
      <c r="L1797" s="3"/>
      <c r="M1797" s="17"/>
      <c r="T1797" s="2"/>
    </row>
    <row r="1798" spans="7:20" x14ac:dyDescent="0.35">
      <c r="G1798" s="3"/>
      <c r="H1798" s="7"/>
      <c r="I1798" s="7"/>
      <c r="J1798" s="7"/>
      <c r="L1798" s="3"/>
      <c r="M1798" s="17"/>
      <c r="T1798" s="2"/>
    </row>
    <row r="1799" spans="7:20" x14ac:dyDescent="0.35">
      <c r="G1799" s="3"/>
      <c r="H1799" s="7"/>
      <c r="I1799" s="7"/>
      <c r="J1799" s="7"/>
      <c r="L1799" s="3"/>
      <c r="M1799" s="17"/>
      <c r="T1799" s="2"/>
    </row>
    <row r="1800" spans="7:20" x14ac:dyDescent="0.35">
      <c r="G1800" s="3"/>
      <c r="H1800" s="7"/>
      <c r="I1800" s="7"/>
      <c r="J1800" s="7"/>
      <c r="L1800" s="3"/>
      <c r="M1800" s="17"/>
      <c r="T1800" s="2"/>
    </row>
    <row r="1801" spans="7:20" x14ac:dyDescent="0.35">
      <c r="G1801" s="3"/>
      <c r="H1801" s="7"/>
      <c r="I1801" s="7"/>
      <c r="J1801" s="7"/>
      <c r="L1801" s="3"/>
      <c r="M1801" s="17"/>
      <c r="T1801" s="2"/>
    </row>
    <row r="1802" spans="7:20" x14ac:dyDescent="0.35">
      <c r="G1802" s="3"/>
      <c r="H1802" s="7"/>
      <c r="I1802" s="7"/>
      <c r="J1802" s="7"/>
      <c r="L1802" s="3"/>
      <c r="M1802" s="17"/>
      <c r="T1802" s="2"/>
    </row>
    <row r="1803" spans="7:20" x14ac:dyDescent="0.35">
      <c r="G1803" s="3"/>
      <c r="H1803" s="7"/>
      <c r="I1803" s="7"/>
      <c r="J1803" s="7"/>
      <c r="L1803" s="3"/>
      <c r="M1803" s="17"/>
      <c r="T1803" s="2"/>
    </row>
    <row r="1804" spans="7:20" x14ac:dyDescent="0.35">
      <c r="G1804" s="3"/>
      <c r="H1804" s="7"/>
      <c r="I1804" s="7"/>
      <c r="J1804" s="7"/>
      <c r="L1804" s="3"/>
      <c r="M1804" s="17"/>
      <c r="T1804" s="2"/>
    </row>
    <row r="1805" spans="7:20" x14ac:dyDescent="0.35">
      <c r="G1805" s="3"/>
      <c r="H1805" s="7"/>
      <c r="I1805" s="7"/>
      <c r="J1805" s="7"/>
      <c r="L1805" s="3"/>
      <c r="M1805" s="17"/>
      <c r="T1805" s="2"/>
    </row>
    <row r="1806" spans="7:20" x14ac:dyDescent="0.35">
      <c r="G1806" s="3"/>
      <c r="H1806" s="7"/>
      <c r="I1806" s="7"/>
      <c r="J1806" s="7"/>
      <c r="L1806" s="3"/>
      <c r="M1806" s="17"/>
      <c r="T1806" s="2"/>
    </row>
    <row r="1807" spans="7:20" x14ac:dyDescent="0.35">
      <c r="G1807" s="3"/>
      <c r="H1807" s="7"/>
      <c r="I1807" s="7"/>
      <c r="J1807" s="7"/>
      <c r="L1807" s="3"/>
      <c r="M1807" s="17"/>
      <c r="T1807" s="2"/>
    </row>
    <row r="1808" spans="7:20" x14ac:dyDescent="0.35">
      <c r="G1808" s="3"/>
      <c r="H1808" s="7"/>
      <c r="I1808" s="7"/>
      <c r="J1808" s="7"/>
      <c r="L1808" s="3"/>
      <c r="M1808" s="17"/>
      <c r="T1808" s="2"/>
    </row>
    <row r="1809" spans="7:20" x14ac:dyDescent="0.35">
      <c r="G1809" s="3"/>
      <c r="H1809" s="7"/>
      <c r="I1809" s="7"/>
      <c r="J1809" s="7"/>
      <c r="L1809" s="3"/>
      <c r="M1809" s="17"/>
      <c r="T1809" s="2"/>
    </row>
    <row r="1810" spans="7:20" x14ac:dyDescent="0.35">
      <c r="G1810" s="3"/>
      <c r="H1810" s="7"/>
      <c r="I1810" s="7"/>
      <c r="J1810" s="7"/>
      <c r="L1810" s="3"/>
      <c r="M1810" s="17"/>
      <c r="T1810" s="2"/>
    </row>
    <row r="1811" spans="7:20" x14ac:dyDescent="0.35">
      <c r="G1811" s="3"/>
      <c r="H1811" s="7"/>
      <c r="I1811" s="7"/>
      <c r="J1811" s="7"/>
      <c r="L1811" s="3"/>
      <c r="M1811" s="17"/>
      <c r="T1811" s="2"/>
    </row>
    <row r="1812" spans="7:20" x14ac:dyDescent="0.35">
      <c r="G1812" s="3"/>
      <c r="H1812" s="7"/>
      <c r="I1812" s="7"/>
      <c r="J1812" s="7"/>
      <c r="L1812" s="3"/>
      <c r="M1812" s="17"/>
      <c r="T1812" s="2"/>
    </row>
    <row r="1813" spans="7:20" x14ac:dyDescent="0.35">
      <c r="G1813" s="3"/>
      <c r="H1813" s="7"/>
      <c r="I1813" s="7"/>
      <c r="J1813" s="7"/>
      <c r="L1813" s="3"/>
      <c r="M1813" s="17"/>
      <c r="T1813" s="2"/>
    </row>
    <row r="1814" spans="7:20" x14ac:dyDescent="0.35">
      <c r="G1814" s="3"/>
      <c r="H1814" s="7"/>
      <c r="I1814" s="7"/>
      <c r="J1814" s="7"/>
      <c r="L1814" s="3"/>
      <c r="M1814" s="17"/>
      <c r="T1814" s="2"/>
    </row>
    <row r="1815" spans="7:20" x14ac:dyDescent="0.35">
      <c r="G1815" s="3"/>
      <c r="H1815" s="7"/>
      <c r="I1815" s="7"/>
      <c r="J1815" s="7"/>
      <c r="L1815" s="3"/>
      <c r="M1815" s="17"/>
      <c r="T1815" s="2"/>
    </row>
    <row r="1816" spans="7:20" x14ac:dyDescent="0.35">
      <c r="G1816" s="3"/>
      <c r="H1816" s="7"/>
      <c r="I1816" s="7"/>
      <c r="J1816" s="7"/>
      <c r="L1816" s="3"/>
      <c r="M1816" s="17"/>
      <c r="T1816" s="2"/>
    </row>
    <row r="1817" spans="7:20" x14ac:dyDescent="0.35">
      <c r="G1817" s="3"/>
      <c r="H1817" s="7"/>
      <c r="I1817" s="7"/>
      <c r="J1817" s="7"/>
      <c r="L1817" s="3"/>
      <c r="M1817" s="17"/>
      <c r="T1817" s="2"/>
    </row>
    <row r="1818" spans="7:20" x14ac:dyDescent="0.35">
      <c r="G1818" s="3"/>
      <c r="H1818" s="7"/>
      <c r="I1818" s="7"/>
      <c r="J1818" s="7"/>
      <c r="L1818" s="3"/>
      <c r="M1818" s="17"/>
      <c r="T1818" s="2"/>
    </row>
    <row r="1819" spans="7:20" x14ac:dyDescent="0.35">
      <c r="G1819" s="3"/>
      <c r="H1819" s="7"/>
      <c r="I1819" s="7"/>
      <c r="J1819" s="7"/>
      <c r="L1819" s="3"/>
      <c r="M1819" s="17"/>
      <c r="T1819" s="2"/>
    </row>
    <row r="1820" spans="7:20" x14ac:dyDescent="0.35">
      <c r="G1820" s="3"/>
      <c r="H1820" s="7"/>
      <c r="I1820" s="7"/>
      <c r="J1820" s="7"/>
      <c r="L1820" s="3"/>
      <c r="M1820" s="17"/>
      <c r="T1820" s="2"/>
    </row>
    <row r="1821" spans="7:20" x14ac:dyDescent="0.35">
      <c r="G1821" s="3"/>
      <c r="H1821" s="7"/>
      <c r="I1821" s="7"/>
      <c r="J1821" s="7"/>
      <c r="L1821" s="3"/>
      <c r="M1821" s="17"/>
      <c r="T1821" s="2"/>
    </row>
    <row r="1822" spans="7:20" x14ac:dyDescent="0.35">
      <c r="G1822" s="3"/>
      <c r="H1822" s="7"/>
      <c r="I1822" s="7"/>
      <c r="J1822" s="7"/>
      <c r="L1822" s="3"/>
      <c r="M1822" s="17"/>
      <c r="T1822" s="2"/>
    </row>
    <row r="1823" spans="7:20" x14ac:dyDescent="0.35">
      <c r="G1823" s="3"/>
      <c r="H1823" s="7"/>
      <c r="I1823" s="7"/>
      <c r="J1823" s="7"/>
      <c r="L1823" s="3"/>
      <c r="M1823" s="17"/>
      <c r="T1823" s="2"/>
    </row>
    <row r="1824" spans="7:20" x14ac:dyDescent="0.35">
      <c r="G1824" s="3"/>
      <c r="H1824" s="7"/>
      <c r="I1824" s="7"/>
      <c r="J1824" s="7"/>
      <c r="L1824" s="26"/>
      <c r="M1824" s="17"/>
      <c r="T1824" s="2"/>
    </row>
    <row r="1825" spans="7:20" x14ac:dyDescent="0.35">
      <c r="G1825" s="3"/>
      <c r="H1825" s="7"/>
      <c r="I1825" s="7"/>
      <c r="J1825" s="7"/>
      <c r="L1825" s="3"/>
      <c r="M1825" s="17"/>
      <c r="T1825" s="2"/>
    </row>
    <row r="1826" spans="7:20" x14ac:dyDescent="0.35">
      <c r="G1826" s="3"/>
      <c r="H1826" s="7"/>
      <c r="I1826" s="7"/>
      <c r="J1826" s="7"/>
      <c r="L1826" s="3"/>
      <c r="M1826" s="17"/>
      <c r="T1826" s="2"/>
    </row>
    <row r="1827" spans="7:20" x14ac:dyDescent="0.35">
      <c r="G1827" s="3"/>
      <c r="H1827" s="7"/>
      <c r="I1827" s="7"/>
      <c r="J1827" s="7"/>
      <c r="L1827" s="3"/>
      <c r="M1827" s="17"/>
      <c r="T1827" s="2"/>
    </row>
    <row r="1828" spans="7:20" x14ac:dyDescent="0.35">
      <c r="G1828" s="3"/>
      <c r="H1828" s="7"/>
      <c r="I1828" s="7"/>
      <c r="J1828" s="7"/>
      <c r="L1828" s="3"/>
      <c r="M1828" s="17"/>
      <c r="T1828" s="2"/>
    </row>
    <row r="1829" spans="7:20" x14ac:dyDescent="0.35">
      <c r="G1829" s="3"/>
      <c r="H1829" s="7"/>
      <c r="I1829" s="7"/>
      <c r="J1829" s="7"/>
      <c r="L1829" s="3"/>
      <c r="M1829" s="17"/>
      <c r="T1829" s="2"/>
    </row>
    <row r="1830" spans="7:20" x14ac:dyDescent="0.35">
      <c r="G1830" s="3"/>
      <c r="H1830" s="7"/>
      <c r="I1830" s="7"/>
      <c r="J1830" s="7"/>
      <c r="L1830" s="3"/>
      <c r="M1830" s="17"/>
      <c r="T1830" s="2"/>
    </row>
    <row r="1831" spans="7:20" x14ac:dyDescent="0.35">
      <c r="G1831" s="3"/>
      <c r="H1831" s="7"/>
      <c r="I1831" s="7"/>
      <c r="J1831" s="7"/>
      <c r="L1831" s="3"/>
      <c r="M1831" s="17"/>
      <c r="T1831" s="2"/>
    </row>
    <row r="1832" spans="7:20" x14ac:dyDescent="0.35">
      <c r="G1832" s="3"/>
      <c r="H1832" s="7"/>
      <c r="I1832" s="7"/>
      <c r="J1832" s="7"/>
      <c r="L1832" s="3"/>
      <c r="M1832" s="17"/>
      <c r="T1832" s="2"/>
    </row>
    <row r="1833" spans="7:20" x14ac:dyDescent="0.35">
      <c r="G1833" s="3"/>
      <c r="H1833" s="7"/>
      <c r="I1833" s="7"/>
      <c r="J1833" s="7"/>
      <c r="L1833" s="3"/>
      <c r="M1833" s="17"/>
      <c r="T1833" s="2"/>
    </row>
    <row r="1834" spans="7:20" x14ac:dyDescent="0.35">
      <c r="G1834" s="3"/>
      <c r="H1834" s="7"/>
      <c r="I1834" s="7"/>
      <c r="J1834" s="7"/>
      <c r="L1834" s="3"/>
      <c r="M1834" s="17"/>
      <c r="T1834" s="2"/>
    </row>
    <row r="1835" spans="7:20" x14ac:dyDescent="0.35">
      <c r="G1835" s="3"/>
      <c r="H1835" s="7"/>
      <c r="I1835" s="7"/>
      <c r="J1835" s="7"/>
      <c r="L1835" s="3"/>
      <c r="M1835" s="17"/>
      <c r="T1835" s="2"/>
    </row>
    <row r="1836" spans="7:20" x14ac:dyDescent="0.35">
      <c r="G1836" s="3"/>
      <c r="H1836" s="7"/>
      <c r="I1836" s="7"/>
      <c r="J1836" s="7"/>
      <c r="L1836" s="3"/>
      <c r="M1836" s="17"/>
      <c r="T1836" s="2"/>
    </row>
    <row r="1837" spans="7:20" x14ac:dyDescent="0.35">
      <c r="G1837" s="3"/>
      <c r="H1837" s="7"/>
      <c r="I1837" s="7"/>
      <c r="J1837" s="7"/>
      <c r="L1837" s="3"/>
      <c r="M1837" s="17"/>
      <c r="T1837" s="2"/>
    </row>
    <row r="1838" spans="7:20" x14ac:dyDescent="0.35">
      <c r="G1838" s="3"/>
      <c r="H1838" s="7"/>
      <c r="I1838" s="7"/>
      <c r="J1838" s="7"/>
      <c r="L1838" s="3"/>
      <c r="M1838" s="17"/>
      <c r="T1838" s="2"/>
    </row>
    <row r="1839" spans="7:20" x14ac:dyDescent="0.35">
      <c r="G1839" s="3"/>
      <c r="H1839" s="7"/>
      <c r="I1839" s="7"/>
      <c r="J1839" s="7"/>
      <c r="L1839" s="3"/>
      <c r="M1839" s="17"/>
      <c r="T1839" s="2"/>
    </row>
    <row r="1840" spans="7:20" x14ac:dyDescent="0.35">
      <c r="G1840" s="3"/>
      <c r="H1840" s="7"/>
      <c r="I1840" s="7"/>
      <c r="J1840" s="7"/>
      <c r="L1840" s="3"/>
      <c r="M1840" s="17"/>
      <c r="T1840" s="2"/>
    </row>
    <row r="1841" spans="1:21" x14ac:dyDescent="0.35">
      <c r="G1841" s="3"/>
      <c r="H1841" s="7"/>
      <c r="I1841" s="7"/>
      <c r="J1841" s="7"/>
      <c r="L1841" s="3"/>
      <c r="M1841" s="17"/>
      <c r="T1841" s="2"/>
    </row>
    <row r="1842" spans="1:21" x14ac:dyDescent="0.35">
      <c r="A1842" s="33"/>
      <c r="B1842" s="18"/>
      <c r="C1842" s="18"/>
      <c r="D1842" s="18"/>
      <c r="E1842" s="18"/>
      <c r="F1842" s="18"/>
      <c r="G1842" s="34"/>
      <c r="H1842" s="15"/>
      <c r="I1842" s="15"/>
      <c r="J1842" s="15"/>
      <c r="L1842" s="34"/>
      <c r="M1842" s="19"/>
      <c r="N1842" s="18"/>
      <c r="O1842" s="18"/>
      <c r="P1842" s="18"/>
      <c r="Q1842" s="18"/>
      <c r="T1842" s="35"/>
      <c r="U1842" s="18"/>
    </row>
    <row r="1843" spans="1:21" x14ac:dyDescent="0.35">
      <c r="G1843" s="3"/>
      <c r="H1843" s="7"/>
      <c r="I1843" s="7"/>
      <c r="J1843" s="7"/>
      <c r="L1843" s="3"/>
      <c r="M1843" s="17"/>
      <c r="T1843" s="22"/>
    </row>
    <row r="1844" spans="1:21" x14ac:dyDescent="0.35">
      <c r="G1844" s="3"/>
      <c r="H1844" s="7"/>
      <c r="I1844" s="7"/>
      <c r="J1844" s="7"/>
      <c r="L1844" s="3"/>
      <c r="M1844" s="17"/>
      <c r="T1844" s="22"/>
    </row>
    <row r="1845" spans="1:21" x14ac:dyDescent="0.35">
      <c r="G1845" s="3"/>
      <c r="H1845" s="7"/>
      <c r="I1845" s="7"/>
      <c r="J1845" s="7"/>
      <c r="L1845" s="3"/>
      <c r="M1845" s="17"/>
      <c r="T1845" s="22"/>
    </row>
    <row r="1846" spans="1:21" x14ac:dyDescent="0.35">
      <c r="G1846" s="3"/>
      <c r="H1846" s="7"/>
      <c r="I1846" s="7"/>
      <c r="J1846" s="7"/>
      <c r="L1846" s="3"/>
      <c r="M1846" s="17"/>
      <c r="T1846" s="22"/>
    </row>
    <row r="1847" spans="1:21" x14ac:dyDescent="0.35">
      <c r="G1847" s="3"/>
      <c r="H1847" s="7"/>
      <c r="I1847" s="7"/>
      <c r="J1847" s="7"/>
      <c r="L1847" s="3"/>
      <c r="M1847" s="17"/>
      <c r="T1847" s="22"/>
    </row>
    <row r="1848" spans="1:21" x14ac:dyDescent="0.35">
      <c r="G1848" s="3"/>
      <c r="H1848" s="7"/>
      <c r="I1848" s="7"/>
      <c r="J1848" s="7"/>
      <c r="L1848" s="3"/>
      <c r="M1848" s="17"/>
      <c r="T1848" s="22"/>
    </row>
    <row r="1849" spans="1:21" x14ac:dyDescent="0.35">
      <c r="G1849" s="3"/>
      <c r="H1849" s="7"/>
      <c r="I1849" s="7"/>
      <c r="J1849" s="7"/>
      <c r="L1849" s="3"/>
      <c r="M1849" s="17"/>
      <c r="T1849" s="22"/>
    </row>
    <row r="1850" spans="1:21" x14ac:dyDescent="0.35">
      <c r="G1850" s="3"/>
      <c r="H1850" s="7"/>
      <c r="I1850" s="7"/>
      <c r="J1850" s="7"/>
      <c r="L1850" s="3"/>
      <c r="M1850" s="17"/>
      <c r="T1850" s="22"/>
    </row>
    <row r="1851" spans="1:21" x14ac:dyDescent="0.35">
      <c r="G1851" s="3"/>
      <c r="H1851" s="7"/>
      <c r="I1851" s="7"/>
      <c r="J1851" s="7"/>
      <c r="L1851" s="3"/>
      <c r="M1851" s="17"/>
      <c r="T1851" s="22"/>
    </row>
    <row r="1852" spans="1:21" x14ac:dyDescent="0.35">
      <c r="G1852" s="3"/>
      <c r="H1852" s="7"/>
      <c r="I1852" s="7"/>
      <c r="J1852" s="7"/>
      <c r="L1852" s="3"/>
      <c r="M1852" s="17"/>
      <c r="T1852" s="22"/>
    </row>
    <row r="1853" spans="1:21" x14ac:dyDescent="0.35">
      <c r="G1853" s="3"/>
      <c r="H1853" s="7"/>
      <c r="I1853" s="7"/>
      <c r="J1853" s="7"/>
      <c r="L1853" s="3"/>
      <c r="M1853" s="17"/>
      <c r="T1853" s="22"/>
    </row>
    <row r="1854" spans="1:21" x14ac:dyDescent="0.35">
      <c r="G1854" s="3"/>
      <c r="H1854" s="7"/>
      <c r="I1854" s="7"/>
      <c r="J1854" s="7"/>
      <c r="L1854" s="3"/>
      <c r="M1854" s="17"/>
      <c r="T1854" s="22"/>
    </row>
    <row r="1855" spans="1:21" x14ac:dyDescent="0.35">
      <c r="G1855" s="3"/>
      <c r="H1855" s="7"/>
      <c r="I1855" s="7"/>
      <c r="J1855" s="7"/>
      <c r="L1855" s="3"/>
      <c r="M1855" s="17"/>
      <c r="T1855" s="22"/>
    </row>
    <row r="1856" spans="1:21" x14ac:dyDescent="0.35">
      <c r="G1856" s="3"/>
      <c r="H1856" s="7"/>
      <c r="I1856" s="7"/>
      <c r="J1856" s="7"/>
      <c r="L1856" s="3"/>
      <c r="M1856" s="17"/>
      <c r="T1856" s="22"/>
    </row>
    <row r="1857" spans="7:20" x14ac:dyDescent="0.35">
      <c r="G1857" s="3"/>
      <c r="H1857" s="7"/>
      <c r="I1857" s="7"/>
      <c r="J1857" s="7"/>
      <c r="L1857" s="3"/>
      <c r="M1857" s="17"/>
      <c r="T1857" s="22"/>
    </row>
    <row r="1858" spans="7:20" x14ac:dyDescent="0.35">
      <c r="G1858" s="3"/>
      <c r="H1858" s="7"/>
      <c r="I1858" s="7"/>
      <c r="J1858" s="7"/>
      <c r="L1858" s="3"/>
      <c r="M1858" s="17"/>
      <c r="T1858" s="22"/>
    </row>
    <row r="1859" spans="7:20" x14ac:dyDescent="0.35">
      <c r="G1859" s="3"/>
      <c r="H1859" s="7"/>
      <c r="I1859" s="7"/>
      <c r="J1859" s="7"/>
      <c r="L1859" s="3"/>
      <c r="M1859" s="17"/>
      <c r="T1859" s="22"/>
    </row>
    <row r="1860" spans="7:20" x14ac:dyDescent="0.35">
      <c r="G1860" s="3"/>
      <c r="H1860" s="7"/>
      <c r="I1860" s="7"/>
      <c r="J1860" s="7"/>
      <c r="L1860" s="3"/>
      <c r="M1860" s="17"/>
      <c r="T1860" s="22"/>
    </row>
    <row r="1861" spans="7:20" x14ac:dyDescent="0.35">
      <c r="G1861" s="3"/>
      <c r="H1861" s="7"/>
      <c r="I1861" s="7"/>
      <c r="J1861" s="7"/>
      <c r="L1861" s="3"/>
      <c r="M1861" s="17"/>
      <c r="T1861" s="22"/>
    </row>
    <row r="1862" spans="7:20" x14ac:dyDescent="0.35">
      <c r="G1862" s="3"/>
      <c r="H1862" s="7"/>
      <c r="I1862" s="7"/>
      <c r="J1862" s="7"/>
      <c r="L1862" s="3"/>
      <c r="M1862" s="17"/>
      <c r="T1862" s="22"/>
    </row>
    <row r="1863" spans="7:20" x14ac:dyDescent="0.35">
      <c r="G1863" s="3"/>
      <c r="H1863" s="7"/>
      <c r="I1863" s="7"/>
      <c r="J1863" s="7"/>
      <c r="L1863" s="3"/>
      <c r="M1863" s="17"/>
      <c r="T1863" s="22"/>
    </row>
    <row r="1864" spans="7:20" x14ac:dyDescent="0.35">
      <c r="G1864" s="3"/>
      <c r="H1864" s="7"/>
      <c r="I1864" s="7"/>
      <c r="J1864" s="7"/>
      <c r="L1864" s="3"/>
      <c r="M1864" s="17"/>
      <c r="T1864" s="22"/>
    </row>
    <row r="1865" spans="7:20" x14ac:dyDescent="0.35">
      <c r="G1865" s="3"/>
      <c r="H1865" s="7"/>
      <c r="I1865" s="7"/>
      <c r="J1865" s="7"/>
      <c r="L1865" s="3"/>
      <c r="M1865" s="17"/>
      <c r="T1865" s="22"/>
    </row>
    <row r="1866" spans="7:20" x14ac:dyDescent="0.35">
      <c r="G1866" s="3"/>
      <c r="H1866" s="7"/>
      <c r="I1866" s="7"/>
      <c r="J1866" s="7"/>
      <c r="L1866" s="3"/>
      <c r="M1866" s="17"/>
      <c r="T1866" s="22"/>
    </row>
    <row r="1867" spans="7:20" x14ac:dyDescent="0.35">
      <c r="G1867" s="3"/>
      <c r="H1867" s="7"/>
      <c r="I1867" s="7"/>
      <c r="J1867" s="7"/>
      <c r="L1867" s="3"/>
      <c r="M1867" s="17"/>
      <c r="T1867" s="22"/>
    </row>
    <row r="1868" spans="7:20" x14ac:dyDescent="0.35">
      <c r="G1868" s="3"/>
      <c r="H1868" s="7"/>
      <c r="I1868" s="7"/>
      <c r="J1868" s="7"/>
      <c r="L1868" s="3"/>
      <c r="M1868" s="17"/>
      <c r="T1868" s="22"/>
    </row>
    <row r="1869" spans="7:20" x14ac:dyDescent="0.35">
      <c r="G1869" s="3"/>
      <c r="H1869" s="7"/>
      <c r="I1869" s="7"/>
      <c r="J1869" s="7"/>
      <c r="L1869" s="3"/>
      <c r="M1869" s="17"/>
      <c r="T1869" s="22"/>
    </row>
    <row r="1870" spans="7:20" x14ac:dyDescent="0.35">
      <c r="G1870" s="3"/>
      <c r="H1870" s="7"/>
      <c r="I1870" s="7"/>
      <c r="J1870" s="7"/>
      <c r="L1870" s="3"/>
      <c r="M1870" s="17"/>
      <c r="T1870" s="22"/>
    </row>
    <row r="1871" spans="7:20" x14ac:dyDescent="0.35">
      <c r="G1871" s="3"/>
      <c r="H1871" s="7"/>
      <c r="I1871" s="7"/>
      <c r="J1871" s="7"/>
      <c r="L1871" s="3"/>
      <c r="M1871" s="17"/>
      <c r="T1871" s="22"/>
    </row>
    <row r="1872" spans="7:20" x14ac:dyDescent="0.35">
      <c r="G1872" s="3"/>
      <c r="H1872" s="7"/>
      <c r="I1872" s="7"/>
      <c r="J1872" s="7"/>
      <c r="L1872" s="3"/>
      <c r="M1872" s="17"/>
      <c r="T1872" s="22"/>
    </row>
    <row r="1873" spans="7:20" x14ac:dyDescent="0.35">
      <c r="G1873" s="3"/>
      <c r="H1873" s="7"/>
      <c r="I1873" s="7"/>
      <c r="J1873" s="7"/>
      <c r="L1873" s="3"/>
      <c r="M1873" s="17"/>
      <c r="T1873" s="22"/>
    </row>
    <row r="1874" spans="7:20" x14ac:dyDescent="0.35">
      <c r="G1874" s="3"/>
      <c r="H1874" s="7"/>
      <c r="I1874" s="7"/>
      <c r="J1874" s="7"/>
      <c r="L1874" s="3"/>
      <c r="M1874" s="17"/>
      <c r="T1874" s="22"/>
    </row>
    <row r="1875" spans="7:20" x14ac:dyDescent="0.35">
      <c r="G1875" s="3"/>
      <c r="H1875" s="7"/>
      <c r="I1875" s="7"/>
      <c r="J1875" s="7"/>
      <c r="L1875" s="3"/>
      <c r="M1875" s="17"/>
      <c r="T1875" s="22"/>
    </row>
    <row r="1876" spans="7:20" x14ac:dyDescent="0.35">
      <c r="G1876" s="3"/>
      <c r="H1876" s="7"/>
      <c r="I1876" s="7"/>
      <c r="J1876" s="7"/>
      <c r="L1876" s="3"/>
      <c r="M1876" s="17"/>
      <c r="T1876" s="22"/>
    </row>
    <row r="1877" spans="7:20" x14ac:dyDescent="0.35">
      <c r="G1877" s="3"/>
      <c r="H1877" s="7"/>
      <c r="I1877" s="7"/>
      <c r="J1877" s="7"/>
      <c r="L1877" s="3"/>
      <c r="M1877" s="17"/>
      <c r="T1877" s="22"/>
    </row>
    <row r="1878" spans="7:20" x14ac:dyDescent="0.35">
      <c r="G1878" s="3"/>
      <c r="H1878" s="7"/>
      <c r="I1878" s="7"/>
      <c r="J1878" s="7"/>
      <c r="L1878" s="3"/>
      <c r="M1878" s="17"/>
      <c r="T1878" s="22"/>
    </row>
    <row r="1879" spans="7:20" x14ac:dyDescent="0.35">
      <c r="G1879" s="3"/>
      <c r="H1879" s="7"/>
      <c r="I1879" s="7"/>
      <c r="J1879" s="7"/>
      <c r="L1879" s="3"/>
      <c r="M1879" s="17"/>
      <c r="T1879" s="22"/>
    </row>
    <row r="1880" spans="7:20" x14ac:dyDescent="0.35">
      <c r="G1880" s="3"/>
      <c r="H1880" s="7"/>
      <c r="I1880" s="7"/>
      <c r="J1880" s="7"/>
      <c r="L1880" s="3"/>
      <c r="M1880" s="17"/>
      <c r="T1880" s="22"/>
    </row>
    <row r="1881" spans="7:20" x14ac:dyDescent="0.35">
      <c r="G1881" s="3"/>
      <c r="H1881" s="7"/>
      <c r="I1881" s="7"/>
      <c r="J1881" s="7"/>
      <c r="L1881" s="3"/>
      <c r="M1881" s="17"/>
      <c r="T1881" s="22"/>
    </row>
    <row r="1882" spans="7:20" x14ac:dyDescent="0.35">
      <c r="G1882" s="3"/>
      <c r="H1882" s="7"/>
      <c r="I1882" s="7"/>
      <c r="J1882" s="7"/>
      <c r="L1882" s="3"/>
      <c r="M1882" s="17"/>
      <c r="T1882" s="22"/>
    </row>
    <row r="1883" spans="7:20" x14ac:dyDescent="0.35">
      <c r="G1883" s="3"/>
      <c r="H1883" s="7"/>
      <c r="I1883" s="7"/>
      <c r="J1883" s="7"/>
      <c r="L1883" s="3"/>
      <c r="M1883" s="17"/>
      <c r="T1883" s="22"/>
    </row>
    <row r="1884" spans="7:20" x14ac:dyDescent="0.35">
      <c r="G1884" s="3"/>
      <c r="H1884" s="7"/>
      <c r="I1884" s="7"/>
      <c r="J1884" s="7"/>
      <c r="L1884" s="3"/>
      <c r="M1884" s="17"/>
      <c r="T1884" s="22"/>
    </row>
    <row r="1885" spans="7:20" x14ac:dyDescent="0.35">
      <c r="G1885" s="3"/>
      <c r="H1885" s="7"/>
      <c r="I1885" s="7"/>
      <c r="J1885" s="7"/>
      <c r="L1885" s="3"/>
      <c r="M1885" s="17"/>
      <c r="T1885" s="22"/>
    </row>
    <row r="1886" spans="7:20" x14ac:dyDescent="0.35">
      <c r="G1886" s="3"/>
      <c r="H1886" s="7"/>
      <c r="I1886" s="7"/>
      <c r="J1886" s="7"/>
      <c r="L1886" s="3"/>
      <c r="M1886" s="17"/>
      <c r="T1886" s="22"/>
    </row>
    <row r="1887" spans="7:20" x14ac:dyDescent="0.35">
      <c r="G1887" s="3"/>
      <c r="H1887" s="7"/>
      <c r="I1887" s="7"/>
      <c r="J1887" s="7"/>
      <c r="L1887" s="3"/>
      <c r="M1887" s="17"/>
      <c r="T1887" s="22"/>
    </row>
    <row r="1888" spans="7:20" x14ac:dyDescent="0.35">
      <c r="G1888" s="3"/>
      <c r="H1888" s="7"/>
      <c r="I1888" s="7"/>
      <c r="J1888" s="7"/>
      <c r="L1888" s="3"/>
      <c r="M1888" s="17"/>
      <c r="T1888" s="22"/>
    </row>
    <row r="1889" spans="7:20" x14ac:dyDescent="0.35">
      <c r="G1889" s="3"/>
      <c r="H1889" s="7"/>
      <c r="I1889" s="7"/>
      <c r="J1889" s="7"/>
      <c r="L1889" s="3"/>
      <c r="M1889" s="17"/>
      <c r="T1889" s="22"/>
    </row>
    <row r="1890" spans="7:20" x14ac:dyDescent="0.35">
      <c r="G1890" s="3"/>
      <c r="H1890" s="7"/>
      <c r="I1890" s="7"/>
      <c r="J1890" s="7"/>
      <c r="L1890" s="3"/>
      <c r="M1890" s="17"/>
      <c r="T1890" s="22"/>
    </row>
    <row r="1891" spans="7:20" x14ac:dyDescent="0.35">
      <c r="G1891" s="3"/>
      <c r="H1891" s="7"/>
      <c r="I1891" s="7"/>
      <c r="J1891" s="7"/>
      <c r="L1891" s="3"/>
      <c r="M1891" s="17"/>
      <c r="T1891" s="22"/>
    </row>
    <row r="1892" spans="7:20" x14ac:dyDescent="0.35">
      <c r="G1892" s="3"/>
      <c r="H1892" s="7"/>
      <c r="I1892" s="7"/>
      <c r="J1892" s="7"/>
      <c r="L1892" s="3"/>
      <c r="M1892" s="17"/>
      <c r="T1892" s="22"/>
    </row>
    <row r="1893" spans="7:20" x14ac:dyDescent="0.35">
      <c r="G1893" s="3"/>
      <c r="H1893" s="7"/>
      <c r="I1893" s="7"/>
      <c r="J1893" s="7"/>
      <c r="L1893" s="3"/>
      <c r="M1893" s="17"/>
      <c r="T1893" s="22"/>
    </row>
    <row r="1894" spans="7:20" x14ac:dyDescent="0.35">
      <c r="G1894" s="3"/>
      <c r="H1894" s="7"/>
      <c r="I1894" s="7"/>
      <c r="J1894" s="7"/>
      <c r="L1894" s="3"/>
      <c r="M1894" s="17"/>
      <c r="T1894" s="22"/>
    </row>
    <row r="1895" spans="7:20" x14ac:dyDescent="0.35">
      <c r="G1895" s="3"/>
      <c r="H1895" s="7"/>
      <c r="I1895" s="7"/>
      <c r="J1895" s="7"/>
      <c r="L1895" s="3"/>
      <c r="M1895" s="17"/>
      <c r="T1895" s="22"/>
    </row>
    <row r="1896" spans="7:20" x14ac:dyDescent="0.35">
      <c r="G1896" s="3"/>
      <c r="H1896" s="7"/>
      <c r="I1896" s="7"/>
      <c r="J1896" s="7"/>
      <c r="L1896" s="3"/>
      <c r="M1896" s="17"/>
      <c r="T1896" s="22"/>
    </row>
    <row r="1897" spans="7:20" x14ac:dyDescent="0.35">
      <c r="G1897" s="3"/>
      <c r="H1897" s="7"/>
      <c r="I1897" s="7"/>
      <c r="J1897" s="7"/>
      <c r="L1897" s="3"/>
      <c r="M1897" s="17"/>
      <c r="T1897" s="22"/>
    </row>
    <row r="1898" spans="7:20" x14ac:dyDescent="0.35">
      <c r="G1898" s="3"/>
      <c r="H1898" s="7"/>
      <c r="I1898" s="7"/>
      <c r="J1898" s="7"/>
      <c r="L1898" s="3"/>
      <c r="M1898" s="17"/>
      <c r="T1898" s="22"/>
    </row>
    <row r="1899" spans="7:20" x14ac:dyDescent="0.35">
      <c r="G1899" s="3"/>
      <c r="H1899" s="7"/>
      <c r="I1899" s="7"/>
      <c r="J1899" s="7"/>
      <c r="L1899" s="3"/>
      <c r="M1899" s="17"/>
      <c r="T1899" s="22"/>
    </row>
    <row r="1900" spans="7:20" x14ac:dyDescent="0.35">
      <c r="G1900" s="3"/>
      <c r="H1900" s="7"/>
      <c r="I1900" s="7"/>
      <c r="J1900" s="7"/>
      <c r="L1900" s="3"/>
      <c r="M1900" s="17"/>
      <c r="T1900" s="22"/>
    </row>
    <row r="1901" spans="7:20" x14ac:dyDescent="0.35">
      <c r="G1901" s="3"/>
      <c r="H1901" s="7"/>
      <c r="I1901" s="7"/>
      <c r="J1901" s="7"/>
      <c r="L1901" s="3"/>
      <c r="M1901" s="17"/>
      <c r="T1901" s="22"/>
    </row>
    <row r="1902" spans="7:20" x14ac:dyDescent="0.35">
      <c r="G1902" s="3"/>
      <c r="H1902" s="7"/>
      <c r="I1902" s="7"/>
      <c r="J1902" s="7"/>
      <c r="L1902" s="3"/>
      <c r="M1902" s="17"/>
      <c r="T1902" s="22"/>
    </row>
    <row r="1903" spans="7:20" x14ac:dyDescent="0.35">
      <c r="G1903" s="3"/>
      <c r="H1903" s="7"/>
      <c r="I1903" s="7"/>
      <c r="J1903" s="7"/>
      <c r="L1903" s="3"/>
      <c r="M1903" s="17"/>
      <c r="T1903" s="22"/>
    </row>
    <row r="1904" spans="7:20" x14ac:dyDescent="0.35">
      <c r="G1904" s="3"/>
      <c r="H1904" s="7"/>
      <c r="I1904" s="7"/>
      <c r="J1904" s="7"/>
      <c r="L1904" s="3"/>
      <c r="M1904" s="17"/>
      <c r="T1904" s="22"/>
    </row>
    <row r="1905" spans="7:20" x14ac:dyDescent="0.35">
      <c r="G1905" s="3"/>
      <c r="H1905" s="7"/>
      <c r="I1905" s="7"/>
      <c r="J1905" s="7"/>
      <c r="L1905" s="3"/>
      <c r="M1905" s="17"/>
      <c r="T1905" s="22"/>
    </row>
    <row r="1906" spans="7:20" x14ac:dyDescent="0.35">
      <c r="G1906" s="3"/>
      <c r="H1906" s="7"/>
      <c r="I1906" s="7"/>
      <c r="J1906" s="7"/>
      <c r="L1906" s="3"/>
      <c r="M1906" s="17"/>
      <c r="T1906" s="22"/>
    </row>
    <row r="1907" spans="7:20" x14ac:dyDescent="0.35">
      <c r="G1907" s="3"/>
      <c r="H1907" s="7"/>
      <c r="I1907" s="7"/>
      <c r="J1907" s="7"/>
      <c r="L1907" s="3"/>
      <c r="M1907" s="17"/>
      <c r="T1907" s="22"/>
    </row>
    <row r="1908" spans="7:20" x14ac:dyDescent="0.35">
      <c r="G1908" s="3"/>
      <c r="H1908" s="7"/>
      <c r="I1908" s="7"/>
      <c r="J1908" s="7"/>
      <c r="L1908" s="3"/>
      <c r="M1908" s="17"/>
      <c r="T1908" s="22"/>
    </row>
    <row r="1909" spans="7:20" x14ac:dyDescent="0.35">
      <c r="G1909" s="3"/>
      <c r="H1909" s="7"/>
      <c r="I1909" s="7"/>
      <c r="J1909" s="7"/>
      <c r="L1909" s="3"/>
      <c r="M1909" s="17"/>
      <c r="T1909" s="22"/>
    </row>
    <row r="1910" spans="7:20" x14ac:dyDescent="0.35">
      <c r="G1910" s="3"/>
      <c r="H1910" s="7"/>
      <c r="I1910" s="7"/>
      <c r="J1910" s="7"/>
      <c r="L1910" s="3"/>
      <c r="M1910" s="17"/>
      <c r="T1910" s="22"/>
    </row>
    <row r="1911" spans="7:20" x14ac:dyDescent="0.35">
      <c r="G1911" s="3"/>
      <c r="H1911" s="7"/>
      <c r="I1911" s="7"/>
      <c r="J1911" s="7"/>
      <c r="L1911" s="3"/>
      <c r="M1911" s="17"/>
      <c r="T1911" s="22"/>
    </row>
    <row r="1912" spans="7:20" x14ac:dyDescent="0.35">
      <c r="G1912" s="3"/>
      <c r="H1912" s="7"/>
      <c r="I1912" s="7"/>
      <c r="J1912" s="7"/>
      <c r="L1912" s="3"/>
      <c r="M1912" s="17"/>
      <c r="T1912" s="22"/>
    </row>
    <row r="1913" spans="7:20" x14ac:dyDescent="0.35">
      <c r="G1913" s="3"/>
      <c r="H1913" s="7"/>
      <c r="I1913" s="7"/>
      <c r="J1913" s="7"/>
      <c r="L1913" s="3"/>
      <c r="M1913" s="17"/>
      <c r="T1913" s="22"/>
    </row>
    <row r="1914" spans="7:20" x14ac:dyDescent="0.35">
      <c r="G1914" s="3"/>
      <c r="H1914" s="7"/>
      <c r="I1914" s="7"/>
      <c r="J1914" s="7"/>
      <c r="L1914" s="3"/>
      <c r="M1914" s="17"/>
      <c r="T1914" s="22"/>
    </row>
    <row r="1915" spans="7:20" x14ac:dyDescent="0.35">
      <c r="G1915" s="3"/>
      <c r="H1915" s="7"/>
      <c r="I1915" s="7"/>
      <c r="J1915" s="7"/>
      <c r="L1915" s="3"/>
      <c r="M1915" s="17"/>
      <c r="T1915" s="22"/>
    </row>
    <row r="1916" spans="7:20" x14ac:dyDescent="0.35">
      <c r="G1916" s="3"/>
      <c r="H1916" s="7"/>
      <c r="I1916" s="7"/>
      <c r="J1916" s="7"/>
      <c r="L1916" s="3"/>
      <c r="M1916" s="17"/>
      <c r="T1916" s="22"/>
    </row>
    <row r="1917" spans="7:20" x14ac:dyDescent="0.35">
      <c r="G1917" s="3"/>
      <c r="H1917" s="7"/>
      <c r="I1917" s="7"/>
      <c r="J1917" s="7"/>
      <c r="L1917" s="3"/>
      <c r="M1917" s="17"/>
      <c r="T1917" s="22"/>
    </row>
    <row r="1918" spans="7:20" x14ac:dyDescent="0.35">
      <c r="G1918" s="3"/>
      <c r="H1918" s="7"/>
      <c r="I1918" s="7"/>
      <c r="J1918" s="7"/>
      <c r="L1918" s="3"/>
      <c r="M1918" s="17"/>
      <c r="T1918" s="22"/>
    </row>
    <row r="1919" spans="7:20" x14ac:dyDescent="0.35">
      <c r="G1919" s="3"/>
      <c r="H1919" s="7"/>
      <c r="I1919" s="7"/>
      <c r="J1919" s="7"/>
      <c r="L1919" s="3"/>
      <c r="M1919" s="17"/>
      <c r="T1919" s="22"/>
    </row>
    <row r="1920" spans="7:20" x14ac:dyDescent="0.35">
      <c r="G1920" s="3"/>
      <c r="H1920" s="7"/>
      <c r="I1920" s="7"/>
      <c r="J1920" s="7"/>
      <c r="L1920" s="3"/>
      <c r="M1920" s="17"/>
      <c r="T1920" s="22"/>
    </row>
    <row r="1921" spans="7:20" x14ac:dyDescent="0.35">
      <c r="G1921" s="3"/>
      <c r="H1921" s="7"/>
      <c r="I1921" s="7"/>
      <c r="J1921" s="7"/>
      <c r="L1921" s="3"/>
      <c r="M1921" s="17"/>
      <c r="T1921" s="22"/>
    </row>
    <row r="1922" spans="7:20" x14ac:dyDescent="0.35">
      <c r="G1922" s="3"/>
      <c r="H1922" s="7"/>
      <c r="I1922" s="7"/>
      <c r="J1922" s="7"/>
      <c r="L1922" s="3"/>
      <c r="M1922" s="17"/>
      <c r="T1922" s="22"/>
    </row>
    <row r="1923" spans="7:20" x14ac:dyDescent="0.35">
      <c r="G1923" s="3"/>
      <c r="H1923" s="7"/>
      <c r="I1923" s="7"/>
      <c r="J1923" s="7"/>
      <c r="L1923" s="3"/>
      <c r="M1923" s="17"/>
      <c r="T1923" s="22"/>
    </row>
    <row r="1924" spans="7:20" x14ac:dyDescent="0.35">
      <c r="G1924" s="3"/>
      <c r="H1924" s="7"/>
      <c r="I1924" s="7"/>
      <c r="J1924" s="7"/>
      <c r="L1924" s="3"/>
      <c r="M1924" s="17"/>
      <c r="T1924" s="22"/>
    </row>
    <row r="1925" spans="7:20" x14ac:dyDescent="0.35">
      <c r="G1925" s="3"/>
      <c r="H1925" s="7"/>
      <c r="I1925" s="7"/>
      <c r="J1925" s="7"/>
      <c r="L1925" s="3"/>
      <c r="M1925" s="17"/>
      <c r="T1925" s="22"/>
    </row>
    <row r="1926" spans="7:20" x14ac:dyDescent="0.35">
      <c r="G1926" s="3"/>
      <c r="H1926" s="7"/>
      <c r="I1926" s="7"/>
      <c r="J1926" s="7"/>
      <c r="L1926" s="3"/>
      <c r="M1926" s="17"/>
      <c r="T1926" s="22"/>
    </row>
    <row r="1927" spans="7:20" x14ac:dyDescent="0.35">
      <c r="G1927" s="3"/>
      <c r="H1927" s="7"/>
      <c r="I1927" s="7"/>
      <c r="J1927" s="7"/>
      <c r="L1927" s="3"/>
      <c r="M1927" s="17"/>
      <c r="T1927" s="22"/>
    </row>
    <row r="1928" spans="7:20" x14ac:dyDescent="0.35">
      <c r="G1928" s="3"/>
      <c r="H1928" s="7"/>
      <c r="I1928" s="7"/>
      <c r="J1928" s="7"/>
      <c r="L1928" s="3"/>
      <c r="M1928" s="17"/>
      <c r="T1928" s="22"/>
    </row>
    <row r="1929" spans="7:20" x14ac:dyDescent="0.35">
      <c r="G1929" s="3"/>
      <c r="H1929" s="7"/>
      <c r="I1929" s="7"/>
      <c r="J1929" s="7"/>
      <c r="L1929" s="3"/>
      <c r="M1929" s="17"/>
      <c r="T1929" s="22"/>
    </row>
    <row r="1930" spans="7:20" x14ac:dyDescent="0.35">
      <c r="G1930" s="3"/>
      <c r="H1930" s="7"/>
      <c r="I1930" s="7"/>
      <c r="J1930" s="7"/>
      <c r="L1930" s="3"/>
      <c r="M1930" s="17"/>
      <c r="T1930" s="22"/>
    </row>
    <row r="1931" spans="7:20" x14ac:dyDescent="0.35">
      <c r="G1931" s="3"/>
      <c r="H1931" s="7"/>
      <c r="I1931" s="7"/>
      <c r="J1931" s="7"/>
      <c r="L1931" s="3"/>
      <c r="M1931" s="17"/>
      <c r="T1931" s="22"/>
    </row>
    <row r="1932" spans="7:20" x14ac:dyDescent="0.35">
      <c r="G1932" s="3"/>
      <c r="H1932" s="7"/>
      <c r="I1932" s="7"/>
      <c r="J1932" s="7"/>
      <c r="L1932" s="3"/>
      <c r="M1932" s="17"/>
      <c r="T1932" s="22"/>
    </row>
    <row r="1933" spans="7:20" x14ac:dyDescent="0.35">
      <c r="G1933" s="3"/>
      <c r="H1933" s="7"/>
      <c r="I1933" s="7"/>
      <c r="J1933" s="7"/>
      <c r="L1933" s="3"/>
      <c r="M1933" s="17"/>
      <c r="T1933" s="22"/>
    </row>
    <row r="1934" spans="7:20" x14ac:dyDescent="0.35">
      <c r="G1934" s="3"/>
      <c r="H1934" s="7"/>
      <c r="I1934" s="7"/>
      <c r="J1934" s="7"/>
      <c r="L1934" s="3"/>
      <c r="M1934" s="17"/>
      <c r="T1934" s="22"/>
    </row>
    <row r="1935" spans="7:20" x14ac:dyDescent="0.35">
      <c r="G1935" s="3"/>
      <c r="H1935" s="7"/>
      <c r="I1935" s="7"/>
      <c r="J1935" s="7"/>
      <c r="L1935" s="3"/>
      <c r="M1935" s="17"/>
      <c r="T1935" s="22"/>
    </row>
    <row r="1936" spans="7:20" x14ac:dyDescent="0.35">
      <c r="G1936" s="3"/>
      <c r="H1936" s="7"/>
      <c r="I1936" s="7"/>
      <c r="J1936" s="7"/>
      <c r="L1936" s="3"/>
      <c r="M1936" s="17"/>
      <c r="T1936" s="22"/>
    </row>
    <row r="1937" spans="7:20" x14ac:dyDescent="0.35">
      <c r="G1937" s="3"/>
      <c r="H1937" s="7"/>
      <c r="I1937" s="7"/>
      <c r="J1937" s="7"/>
      <c r="L1937" s="3"/>
      <c r="M1937" s="17"/>
      <c r="T1937" s="22"/>
    </row>
    <row r="1938" spans="7:20" x14ac:dyDescent="0.35">
      <c r="G1938" s="3"/>
      <c r="H1938" s="7"/>
      <c r="I1938" s="7"/>
      <c r="J1938" s="7"/>
      <c r="L1938" s="3"/>
      <c r="M1938" s="17"/>
      <c r="T1938" s="22"/>
    </row>
    <row r="1939" spans="7:20" x14ac:dyDescent="0.35">
      <c r="G1939" s="3"/>
      <c r="H1939" s="7"/>
      <c r="I1939" s="7"/>
      <c r="J1939" s="7"/>
      <c r="L1939" s="3"/>
      <c r="M1939" s="17"/>
      <c r="T1939" s="22"/>
    </row>
    <row r="1940" spans="7:20" x14ac:dyDescent="0.35">
      <c r="G1940" s="3"/>
      <c r="H1940" s="7"/>
      <c r="I1940" s="7"/>
      <c r="J1940" s="7"/>
      <c r="L1940" s="3"/>
      <c r="M1940" s="17"/>
      <c r="T1940" s="22"/>
    </row>
    <row r="1941" spans="7:20" x14ac:dyDescent="0.35">
      <c r="G1941" s="3"/>
      <c r="H1941" s="7"/>
      <c r="I1941" s="7"/>
      <c r="J1941" s="7"/>
      <c r="L1941" s="3"/>
      <c r="M1941" s="17"/>
      <c r="T1941" s="22"/>
    </row>
    <row r="1942" spans="7:20" x14ac:dyDescent="0.35">
      <c r="G1942" s="3"/>
      <c r="H1942" s="7"/>
      <c r="I1942" s="7"/>
      <c r="J1942" s="7"/>
      <c r="L1942" s="3"/>
      <c r="M1942" s="17"/>
      <c r="T1942" s="22"/>
    </row>
    <row r="1943" spans="7:20" x14ac:dyDescent="0.35">
      <c r="G1943" s="3"/>
      <c r="H1943" s="7"/>
      <c r="I1943" s="7"/>
      <c r="J1943" s="7"/>
      <c r="L1943" s="3"/>
      <c r="M1943" s="17"/>
      <c r="T1943" s="22"/>
    </row>
    <row r="1944" spans="7:20" x14ac:dyDescent="0.35">
      <c r="G1944" s="3"/>
      <c r="H1944" s="7"/>
      <c r="I1944" s="7"/>
      <c r="J1944" s="7"/>
      <c r="L1944" s="3"/>
      <c r="M1944" s="17"/>
      <c r="T1944" s="22"/>
    </row>
    <row r="1945" spans="7:20" x14ac:dyDescent="0.35">
      <c r="G1945" s="3"/>
      <c r="H1945" s="7"/>
      <c r="I1945" s="7"/>
      <c r="J1945" s="7"/>
      <c r="L1945" s="3"/>
      <c r="M1945" s="17"/>
      <c r="T1945" s="22"/>
    </row>
    <row r="1946" spans="7:20" x14ac:dyDescent="0.35">
      <c r="G1946" s="3"/>
      <c r="H1946" s="7"/>
      <c r="I1946" s="7"/>
      <c r="J1946" s="7"/>
      <c r="L1946" s="3"/>
      <c r="M1946" s="17"/>
      <c r="T1946" s="22"/>
    </row>
    <row r="1947" spans="7:20" x14ac:dyDescent="0.35">
      <c r="G1947" s="3"/>
      <c r="H1947" s="7"/>
      <c r="I1947" s="7"/>
      <c r="J1947" s="7"/>
      <c r="L1947" s="3"/>
      <c r="M1947" s="17"/>
      <c r="T1947" s="22"/>
    </row>
    <row r="1948" spans="7:20" x14ac:dyDescent="0.35">
      <c r="G1948" s="3"/>
      <c r="H1948" s="7"/>
      <c r="I1948" s="7"/>
      <c r="J1948" s="7"/>
      <c r="L1948" s="3"/>
      <c r="M1948" s="17"/>
      <c r="T1948" s="22"/>
    </row>
    <row r="1949" spans="7:20" x14ac:dyDescent="0.35">
      <c r="G1949" s="3"/>
      <c r="H1949" s="7"/>
      <c r="I1949" s="7"/>
      <c r="J1949" s="7"/>
      <c r="L1949" s="3"/>
      <c r="M1949" s="17"/>
      <c r="T1949" s="22"/>
    </row>
    <row r="1950" spans="7:20" x14ac:dyDescent="0.35">
      <c r="G1950" s="3"/>
      <c r="H1950" s="7"/>
      <c r="I1950" s="7"/>
      <c r="J1950" s="7"/>
      <c r="L1950" s="3"/>
      <c r="M1950" s="17"/>
      <c r="T1950" s="22"/>
    </row>
    <row r="1951" spans="7:20" x14ac:dyDescent="0.35">
      <c r="G1951" s="3"/>
      <c r="H1951" s="7"/>
      <c r="I1951" s="7"/>
      <c r="J1951" s="7"/>
      <c r="L1951" s="3"/>
      <c r="M1951" s="17"/>
      <c r="T1951" s="22"/>
    </row>
    <row r="1952" spans="7:20" x14ac:dyDescent="0.35">
      <c r="G1952" s="3"/>
      <c r="H1952" s="7"/>
      <c r="I1952" s="7"/>
      <c r="J1952" s="7"/>
      <c r="L1952" s="3"/>
      <c r="M1952" s="17"/>
      <c r="T1952" s="22"/>
    </row>
    <row r="1953" spans="7:20" x14ac:dyDescent="0.35">
      <c r="G1953" s="3"/>
      <c r="H1953" s="7"/>
      <c r="I1953" s="7"/>
      <c r="J1953" s="7"/>
      <c r="L1953" s="3"/>
      <c r="M1953" s="17"/>
      <c r="T1953" s="22"/>
    </row>
    <row r="1954" spans="7:20" x14ac:dyDescent="0.35">
      <c r="G1954" s="3"/>
      <c r="H1954" s="7"/>
      <c r="I1954" s="7"/>
      <c r="J1954" s="7"/>
      <c r="L1954" s="3"/>
      <c r="M1954" s="17"/>
      <c r="T1954" s="22"/>
    </row>
    <row r="1955" spans="7:20" x14ac:dyDescent="0.35">
      <c r="G1955" s="3"/>
      <c r="H1955" s="7"/>
      <c r="I1955" s="7"/>
      <c r="J1955" s="7"/>
      <c r="L1955" s="3"/>
      <c r="M1955" s="17"/>
      <c r="T1955" s="22"/>
    </row>
    <row r="1956" spans="7:20" x14ac:dyDescent="0.35">
      <c r="G1956" s="3"/>
      <c r="H1956" s="7"/>
      <c r="I1956" s="7"/>
      <c r="J1956" s="7"/>
      <c r="L1956" s="3"/>
      <c r="M1956" s="17"/>
      <c r="T1956" s="22"/>
    </row>
    <row r="1957" spans="7:20" x14ac:dyDescent="0.35">
      <c r="G1957" s="3"/>
      <c r="H1957" s="7"/>
      <c r="I1957" s="7"/>
      <c r="J1957" s="7"/>
      <c r="L1957" s="3"/>
      <c r="M1957" s="17"/>
      <c r="T1957" s="22"/>
    </row>
    <row r="1958" spans="7:20" x14ac:dyDescent="0.35">
      <c r="G1958" s="3"/>
      <c r="H1958" s="7"/>
      <c r="I1958" s="7"/>
      <c r="J1958" s="7"/>
      <c r="L1958" s="3"/>
      <c r="M1958" s="17"/>
      <c r="T1958" s="22"/>
    </row>
    <row r="1959" spans="7:20" x14ac:dyDescent="0.35">
      <c r="G1959" s="3"/>
      <c r="H1959" s="7"/>
      <c r="I1959" s="7"/>
      <c r="J1959" s="7"/>
      <c r="L1959" s="3"/>
      <c r="M1959" s="17"/>
      <c r="T1959" s="22"/>
    </row>
    <row r="1960" spans="7:20" x14ac:dyDescent="0.35">
      <c r="G1960" s="3"/>
      <c r="H1960" s="7"/>
      <c r="I1960" s="7"/>
      <c r="J1960" s="7"/>
      <c r="L1960" s="3"/>
      <c r="M1960" s="17"/>
      <c r="T1960" s="22"/>
    </row>
    <row r="1961" spans="7:20" x14ac:dyDescent="0.35">
      <c r="G1961" s="3"/>
      <c r="H1961" s="7"/>
      <c r="I1961" s="7"/>
      <c r="J1961" s="7"/>
      <c r="L1961" s="3"/>
      <c r="M1961" s="17"/>
      <c r="T1961" s="22"/>
    </row>
    <row r="1962" spans="7:20" x14ac:dyDescent="0.35">
      <c r="G1962" s="3"/>
      <c r="H1962" s="7"/>
      <c r="I1962" s="7"/>
      <c r="J1962" s="7"/>
      <c r="L1962" s="3"/>
      <c r="M1962" s="17"/>
      <c r="T1962" s="22"/>
    </row>
    <row r="1963" spans="7:20" x14ac:dyDescent="0.35">
      <c r="G1963" s="3"/>
      <c r="H1963" s="7"/>
      <c r="I1963" s="7"/>
      <c r="J1963" s="7"/>
      <c r="L1963" s="3"/>
      <c r="M1963" s="17"/>
      <c r="T1963" s="22"/>
    </row>
    <row r="1964" spans="7:20" x14ac:dyDescent="0.35">
      <c r="G1964" s="3"/>
      <c r="H1964" s="7"/>
      <c r="I1964" s="7"/>
      <c r="J1964" s="7"/>
      <c r="L1964" s="3"/>
      <c r="M1964" s="17"/>
      <c r="T1964" s="22"/>
    </row>
    <row r="1965" spans="7:20" x14ac:dyDescent="0.35">
      <c r="G1965" s="3"/>
      <c r="H1965" s="7"/>
      <c r="I1965" s="7"/>
      <c r="J1965" s="7"/>
      <c r="L1965" s="3"/>
      <c r="M1965" s="17"/>
      <c r="T1965" s="22"/>
    </row>
    <row r="1966" spans="7:20" x14ac:dyDescent="0.35">
      <c r="G1966" s="3"/>
      <c r="H1966" s="7"/>
      <c r="I1966" s="7"/>
      <c r="J1966" s="7"/>
      <c r="L1966" s="3"/>
      <c r="M1966" s="17"/>
      <c r="T1966" s="22"/>
    </row>
    <row r="1967" spans="7:20" x14ac:dyDescent="0.35">
      <c r="G1967" s="3"/>
      <c r="H1967" s="7"/>
      <c r="I1967" s="7"/>
      <c r="J1967" s="7"/>
      <c r="L1967" s="3"/>
      <c r="M1967" s="17"/>
      <c r="T1967" s="22"/>
    </row>
    <row r="1968" spans="7:20" x14ac:dyDescent="0.35">
      <c r="G1968" s="3"/>
      <c r="H1968" s="7"/>
      <c r="I1968" s="7"/>
      <c r="J1968" s="7"/>
      <c r="L1968" s="3"/>
      <c r="M1968" s="17"/>
      <c r="T1968" s="22"/>
    </row>
    <row r="1969" spans="7:20" x14ac:dyDescent="0.35">
      <c r="G1969" s="3"/>
      <c r="H1969" s="7"/>
      <c r="I1969" s="7"/>
      <c r="J1969" s="7"/>
      <c r="L1969" s="3"/>
      <c r="M1969" s="17"/>
      <c r="T1969" s="22"/>
    </row>
    <row r="1970" spans="7:20" x14ac:dyDescent="0.35">
      <c r="G1970" s="3"/>
      <c r="H1970" s="7"/>
      <c r="I1970" s="7"/>
      <c r="J1970" s="7"/>
      <c r="L1970" s="3"/>
      <c r="M1970" s="17"/>
      <c r="T1970" s="22"/>
    </row>
    <row r="1971" spans="7:20" x14ac:dyDescent="0.35">
      <c r="G1971" s="3"/>
      <c r="H1971" s="7"/>
      <c r="I1971" s="7"/>
      <c r="J1971" s="7"/>
      <c r="L1971" s="3"/>
      <c r="M1971" s="17"/>
      <c r="T1971" s="22"/>
    </row>
    <row r="1972" spans="7:20" x14ac:dyDescent="0.35">
      <c r="G1972" s="3"/>
      <c r="H1972" s="7"/>
      <c r="I1972" s="7"/>
      <c r="J1972" s="7"/>
      <c r="L1972" s="3"/>
      <c r="M1972" s="17"/>
      <c r="T1972" s="22"/>
    </row>
    <row r="1973" spans="7:20" x14ac:dyDescent="0.35">
      <c r="G1973" s="3"/>
      <c r="H1973" s="7"/>
      <c r="I1973" s="7"/>
      <c r="J1973" s="7"/>
      <c r="L1973" s="3"/>
      <c r="M1973" s="17"/>
      <c r="T1973" s="22"/>
    </row>
    <row r="1974" spans="7:20" x14ac:dyDescent="0.35">
      <c r="G1974" s="3"/>
      <c r="H1974" s="7"/>
      <c r="I1974" s="7"/>
      <c r="J1974" s="7"/>
      <c r="L1974" s="3"/>
      <c r="M1974" s="17"/>
      <c r="T1974" s="22"/>
    </row>
    <row r="1975" spans="7:20" x14ac:dyDescent="0.35">
      <c r="G1975" s="3"/>
      <c r="H1975" s="7"/>
      <c r="I1975" s="7"/>
      <c r="J1975" s="7"/>
      <c r="L1975" s="3"/>
      <c r="M1975" s="17"/>
      <c r="T1975" s="22"/>
    </row>
    <row r="1976" spans="7:20" x14ac:dyDescent="0.35">
      <c r="G1976" s="3"/>
      <c r="H1976" s="7"/>
      <c r="I1976" s="7"/>
      <c r="J1976" s="7"/>
      <c r="L1976" s="3"/>
      <c r="M1976" s="17"/>
      <c r="T1976" s="22"/>
    </row>
    <row r="1977" spans="7:20" x14ac:dyDescent="0.35">
      <c r="G1977" s="3"/>
      <c r="H1977" s="7"/>
      <c r="I1977" s="7"/>
      <c r="J1977" s="7"/>
      <c r="L1977" s="3"/>
      <c r="M1977" s="17"/>
      <c r="T1977" s="22"/>
    </row>
    <row r="1978" spans="7:20" x14ac:dyDescent="0.35">
      <c r="G1978" s="3"/>
      <c r="H1978" s="7"/>
      <c r="I1978" s="7"/>
      <c r="J1978" s="7"/>
      <c r="L1978" s="3"/>
      <c r="M1978" s="17"/>
      <c r="T1978" s="22"/>
    </row>
    <row r="1979" spans="7:20" x14ac:dyDescent="0.35">
      <c r="G1979" s="3"/>
      <c r="H1979" s="7"/>
      <c r="I1979" s="7"/>
      <c r="J1979" s="7"/>
      <c r="L1979" s="3"/>
      <c r="M1979" s="17"/>
      <c r="T1979" s="22"/>
    </row>
    <row r="1980" spans="7:20" x14ac:dyDescent="0.35">
      <c r="G1980" s="3"/>
      <c r="H1980" s="7"/>
      <c r="I1980" s="7"/>
      <c r="J1980" s="7"/>
      <c r="L1980" s="3"/>
      <c r="M1980" s="17"/>
      <c r="T1980" s="22"/>
    </row>
    <row r="1981" spans="7:20" x14ac:dyDescent="0.35">
      <c r="G1981" s="3"/>
      <c r="H1981" s="7"/>
      <c r="I1981" s="7"/>
      <c r="J1981" s="7"/>
      <c r="L1981" s="3"/>
      <c r="M1981" s="17"/>
      <c r="T1981" s="22"/>
    </row>
    <row r="1982" spans="7:20" x14ac:dyDescent="0.35">
      <c r="G1982" s="3"/>
      <c r="H1982" s="7"/>
      <c r="I1982" s="7"/>
      <c r="J1982" s="7"/>
      <c r="L1982" s="3"/>
      <c r="M1982" s="17"/>
      <c r="T1982" s="22"/>
    </row>
    <row r="1983" spans="7:20" x14ac:dyDescent="0.35">
      <c r="G1983" s="3"/>
      <c r="H1983" s="7"/>
      <c r="I1983" s="7"/>
      <c r="J1983" s="7"/>
      <c r="L1983" s="3"/>
      <c r="M1983" s="17"/>
      <c r="T1983" s="22"/>
    </row>
    <row r="1984" spans="7:20" x14ac:dyDescent="0.35">
      <c r="G1984" s="3"/>
      <c r="H1984" s="7"/>
      <c r="I1984" s="7"/>
      <c r="J1984" s="7"/>
      <c r="L1984" s="3"/>
      <c r="M1984" s="17"/>
      <c r="T1984" s="22"/>
    </row>
    <row r="1985" spans="7:20" x14ac:dyDescent="0.35">
      <c r="G1985" s="3"/>
      <c r="H1985" s="7"/>
      <c r="I1985" s="7"/>
      <c r="J1985" s="7"/>
      <c r="L1985" s="3"/>
      <c r="M1985" s="17"/>
      <c r="T1985" s="22"/>
    </row>
    <row r="1986" spans="7:20" x14ac:dyDescent="0.35">
      <c r="G1986" s="3"/>
      <c r="H1986" s="7"/>
      <c r="I1986" s="7"/>
      <c r="J1986" s="7"/>
      <c r="L1986" s="3"/>
      <c r="M1986" s="17"/>
      <c r="T1986" s="22"/>
    </row>
    <row r="1987" spans="7:20" x14ac:dyDescent="0.35">
      <c r="G1987" s="3"/>
      <c r="H1987" s="7"/>
      <c r="I1987" s="7"/>
      <c r="J1987" s="7"/>
      <c r="L1987" s="3"/>
      <c r="M1987" s="17"/>
      <c r="T1987" s="22"/>
    </row>
    <row r="1988" spans="7:20" x14ac:dyDescent="0.35">
      <c r="G1988" s="3"/>
      <c r="H1988" s="7"/>
      <c r="I1988" s="7"/>
      <c r="J1988" s="7"/>
      <c r="L1988" s="3"/>
      <c r="M1988" s="17"/>
      <c r="T1988" s="22"/>
    </row>
    <row r="1989" spans="7:20" x14ac:dyDescent="0.35">
      <c r="G1989" s="3"/>
      <c r="H1989" s="7"/>
      <c r="I1989" s="7"/>
      <c r="J1989" s="7"/>
      <c r="L1989" s="3"/>
      <c r="M1989" s="17"/>
      <c r="T1989" s="22"/>
    </row>
    <row r="1990" spans="7:20" x14ac:dyDescent="0.35">
      <c r="G1990" s="3"/>
      <c r="H1990" s="7"/>
      <c r="I1990" s="7"/>
      <c r="J1990" s="7"/>
      <c r="L1990" s="3"/>
      <c r="M1990" s="17"/>
      <c r="T1990" s="22"/>
    </row>
    <row r="1991" spans="7:20" x14ac:dyDescent="0.35">
      <c r="G1991" s="3"/>
      <c r="H1991" s="7"/>
      <c r="I1991" s="7"/>
      <c r="J1991" s="7"/>
      <c r="L1991" s="3"/>
      <c r="M1991" s="17"/>
      <c r="T1991" s="22"/>
    </row>
    <row r="1992" spans="7:20" x14ac:dyDescent="0.35">
      <c r="G1992" s="3"/>
      <c r="H1992" s="7"/>
      <c r="I1992" s="7"/>
      <c r="J1992" s="7"/>
      <c r="L1992" s="3"/>
      <c r="M1992" s="17"/>
      <c r="T1992" s="22"/>
    </row>
    <row r="1993" spans="7:20" x14ac:dyDescent="0.35">
      <c r="G1993" s="3"/>
      <c r="H1993" s="7"/>
      <c r="I1993" s="7"/>
      <c r="J1993" s="7"/>
      <c r="L1993" s="3"/>
      <c r="M1993" s="17"/>
      <c r="T1993" s="22"/>
    </row>
    <row r="1994" spans="7:20" x14ac:dyDescent="0.35">
      <c r="G1994" s="3"/>
      <c r="H1994" s="7"/>
      <c r="I1994" s="7"/>
      <c r="J1994" s="7"/>
      <c r="L1994" s="3"/>
      <c r="M1994" s="17"/>
      <c r="T1994" s="22"/>
    </row>
    <row r="1995" spans="7:20" x14ac:dyDescent="0.35">
      <c r="G1995" s="3"/>
      <c r="H1995" s="7"/>
      <c r="I1995" s="7"/>
      <c r="J1995" s="7"/>
      <c r="L1995" s="3"/>
      <c r="M1995" s="17"/>
      <c r="T1995" s="22"/>
    </row>
    <row r="1996" spans="7:20" x14ac:dyDescent="0.35">
      <c r="G1996" s="3"/>
      <c r="H1996" s="7"/>
      <c r="I1996" s="7"/>
      <c r="J1996" s="7"/>
      <c r="L1996" s="3"/>
      <c r="M1996" s="17"/>
      <c r="T1996" s="22"/>
    </row>
    <row r="1997" spans="7:20" x14ac:dyDescent="0.35">
      <c r="G1997" s="3"/>
      <c r="H1997" s="7"/>
      <c r="I1997" s="7"/>
      <c r="J1997" s="7"/>
      <c r="L1997" s="26"/>
      <c r="M1997" s="17"/>
      <c r="T1997" s="22"/>
    </row>
    <row r="1998" spans="7:20" x14ac:dyDescent="0.35">
      <c r="G1998" s="3"/>
      <c r="H1998" s="7"/>
      <c r="I1998" s="7"/>
      <c r="J1998" s="7"/>
      <c r="L1998" s="26"/>
      <c r="M1998" s="17"/>
      <c r="T1998" s="22"/>
    </row>
    <row r="1999" spans="7:20" x14ac:dyDescent="0.35">
      <c r="G1999" s="3"/>
      <c r="H1999" s="7"/>
      <c r="I1999" s="7"/>
      <c r="J1999" s="7"/>
      <c r="L1999" s="3"/>
      <c r="M1999" s="17"/>
      <c r="T1999" s="22"/>
    </row>
    <row r="2000" spans="7:20" x14ac:dyDescent="0.35">
      <c r="G2000" s="3"/>
      <c r="H2000" s="7"/>
      <c r="I2000" s="7"/>
      <c r="J2000" s="7"/>
      <c r="L2000" s="3"/>
      <c r="M2000" s="17"/>
      <c r="T2000" s="22"/>
    </row>
    <row r="2001" spans="7:21" x14ac:dyDescent="0.35">
      <c r="G2001" s="3"/>
      <c r="H2001" s="7"/>
      <c r="I2001" s="7"/>
      <c r="J2001" s="7"/>
      <c r="L2001" s="3"/>
      <c r="M2001" s="17"/>
      <c r="T2001" s="22"/>
    </row>
    <row r="2002" spans="7:21" x14ac:dyDescent="0.35">
      <c r="G2002" s="3"/>
      <c r="H2002" s="7"/>
      <c r="I2002" s="7"/>
      <c r="J2002" s="7"/>
      <c r="L2002" s="3"/>
      <c r="M2002" s="17"/>
      <c r="T2002" s="22"/>
    </row>
    <row r="2003" spans="7:21" x14ac:dyDescent="0.35">
      <c r="G2003" s="3"/>
      <c r="H2003" s="7"/>
      <c r="I2003" s="7"/>
      <c r="J2003" s="7"/>
      <c r="L2003" s="3"/>
      <c r="M2003" s="17"/>
      <c r="T2003" s="22"/>
    </row>
    <row r="2004" spans="7:21" x14ac:dyDescent="0.35">
      <c r="G2004" s="3"/>
      <c r="H2004" s="7"/>
      <c r="I2004" s="7"/>
      <c r="J2004" s="7"/>
      <c r="L2004" s="3"/>
      <c r="M2004" s="17"/>
      <c r="T2004" s="22"/>
      <c r="U2004" s="7"/>
    </row>
    <row r="2005" spans="7:21" x14ac:dyDescent="0.35">
      <c r="G2005" s="3"/>
      <c r="H2005" s="7"/>
      <c r="I2005" s="7"/>
      <c r="J2005" s="7"/>
      <c r="L2005" s="3"/>
      <c r="M2005" s="17"/>
      <c r="T2005" s="22"/>
    </row>
    <row r="2006" spans="7:21" x14ac:dyDescent="0.35">
      <c r="G2006" s="3"/>
      <c r="H2006" s="7"/>
      <c r="I2006" s="7"/>
      <c r="J2006" s="7"/>
      <c r="L2006" s="3"/>
      <c r="M2006" s="17"/>
      <c r="T2006" s="22"/>
    </row>
    <row r="2007" spans="7:21" x14ac:dyDescent="0.35">
      <c r="G2007" s="3"/>
      <c r="H2007" s="7"/>
      <c r="I2007" s="7"/>
      <c r="J2007" s="7"/>
      <c r="L2007" s="3"/>
      <c r="M2007" s="17"/>
      <c r="T2007" s="22"/>
    </row>
    <row r="2008" spans="7:21" x14ac:dyDescent="0.35">
      <c r="G2008" s="3"/>
      <c r="H2008" s="7"/>
      <c r="I2008" s="7"/>
      <c r="J2008" s="7"/>
      <c r="L2008" s="3"/>
      <c r="M2008" s="17"/>
      <c r="T2008" s="22"/>
    </row>
    <row r="2009" spans="7:21" x14ac:dyDescent="0.35">
      <c r="G2009" s="3"/>
      <c r="H2009" s="7"/>
      <c r="I2009" s="7"/>
      <c r="J2009" s="7"/>
      <c r="L2009" s="3"/>
      <c r="M2009" s="17"/>
      <c r="T2009" s="22"/>
    </row>
    <row r="2010" spans="7:21" x14ac:dyDescent="0.35">
      <c r="G2010" s="3"/>
      <c r="H2010" s="7"/>
      <c r="I2010" s="7"/>
      <c r="J2010" s="7"/>
      <c r="L2010" s="3"/>
      <c r="M2010" s="17"/>
      <c r="T2010" s="22"/>
    </row>
    <row r="2011" spans="7:21" x14ac:dyDescent="0.35">
      <c r="G2011" s="3"/>
      <c r="H2011" s="7"/>
      <c r="I2011" s="7"/>
      <c r="J2011" s="7"/>
      <c r="L2011" s="3"/>
      <c r="M2011" s="17"/>
      <c r="T2011" s="22"/>
    </row>
    <row r="2012" spans="7:21" x14ac:dyDescent="0.35">
      <c r="G2012" s="3"/>
      <c r="H2012" s="7"/>
      <c r="I2012" s="7"/>
      <c r="J2012" s="7"/>
      <c r="L2012" s="3"/>
      <c r="M2012" s="17"/>
      <c r="T2012" s="22"/>
    </row>
    <row r="2013" spans="7:21" x14ac:dyDescent="0.35">
      <c r="G2013" s="3"/>
      <c r="H2013" s="7"/>
      <c r="I2013" s="7"/>
      <c r="J2013" s="7"/>
      <c r="L2013" s="3"/>
      <c r="M2013" s="17"/>
      <c r="T2013" s="22"/>
    </row>
    <row r="2014" spans="7:21" x14ac:dyDescent="0.35">
      <c r="G2014" s="3"/>
      <c r="H2014" s="7"/>
      <c r="I2014" s="7"/>
      <c r="J2014" s="7"/>
      <c r="L2014" s="3"/>
      <c r="M2014" s="17"/>
      <c r="T2014" s="22"/>
    </row>
    <row r="2015" spans="7:21" x14ac:dyDescent="0.35">
      <c r="G2015" s="3"/>
      <c r="H2015" s="7"/>
      <c r="I2015" s="7"/>
      <c r="J2015" s="7"/>
      <c r="L2015" s="3"/>
      <c r="M2015" s="17"/>
      <c r="T2015" s="22"/>
    </row>
    <row r="2016" spans="7:21" x14ac:dyDescent="0.35">
      <c r="G2016" s="3"/>
      <c r="H2016" s="7"/>
      <c r="I2016" s="7"/>
      <c r="J2016" s="7"/>
      <c r="L2016" s="3"/>
      <c r="M2016" s="17"/>
      <c r="T2016" s="22"/>
    </row>
    <row r="2017" spans="7:20" x14ac:dyDescent="0.35">
      <c r="G2017" s="3"/>
      <c r="H2017" s="7"/>
      <c r="I2017" s="7"/>
      <c r="J2017" s="7"/>
      <c r="L2017" s="3"/>
      <c r="M2017" s="17"/>
      <c r="T2017" s="22"/>
    </row>
    <row r="2018" spans="7:20" x14ac:dyDescent="0.35">
      <c r="G2018" s="3"/>
      <c r="H2018" s="7"/>
      <c r="I2018" s="7"/>
      <c r="J2018" s="7"/>
      <c r="L2018" s="3"/>
      <c r="M2018" s="17"/>
      <c r="T2018" s="22"/>
    </row>
    <row r="2019" spans="7:20" x14ac:dyDescent="0.35">
      <c r="G2019" s="3"/>
      <c r="H2019" s="7"/>
      <c r="I2019" s="7"/>
      <c r="J2019" s="7"/>
      <c r="L2019" s="3"/>
      <c r="M2019" s="17"/>
      <c r="T2019" s="22"/>
    </row>
    <row r="2020" spans="7:20" x14ac:dyDescent="0.35">
      <c r="G2020" s="3"/>
      <c r="H2020" s="7"/>
      <c r="I2020" s="7"/>
      <c r="J2020" s="7"/>
      <c r="L2020" s="3"/>
      <c r="M2020" s="17"/>
      <c r="T2020" s="22"/>
    </row>
    <row r="2021" spans="7:20" x14ac:dyDescent="0.35">
      <c r="G2021" s="3"/>
      <c r="H2021" s="7"/>
      <c r="I2021" s="7"/>
      <c r="J2021" s="7"/>
      <c r="L2021" s="3"/>
      <c r="M2021" s="17"/>
      <c r="T2021" s="22"/>
    </row>
    <row r="2022" spans="7:20" x14ac:dyDescent="0.35">
      <c r="G2022" s="3"/>
      <c r="H2022" s="7"/>
      <c r="I2022" s="7"/>
      <c r="J2022" s="7"/>
      <c r="L2022" s="3"/>
      <c r="M2022" s="17"/>
      <c r="T2022" s="22"/>
    </row>
    <row r="2023" spans="7:20" x14ac:dyDescent="0.35">
      <c r="G2023" s="3"/>
      <c r="H2023" s="7"/>
      <c r="I2023" s="7"/>
      <c r="J2023" s="7"/>
      <c r="L2023" s="3"/>
      <c r="M2023" s="17"/>
      <c r="T2023" s="22"/>
    </row>
    <row r="2024" spans="7:20" x14ac:dyDescent="0.35">
      <c r="G2024" s="3"/>
      <c r="H2024" s="7"/>
      <c r="I2024" s="7"/>
      <c r="J2024" s="7"/>
      <c r="L2024" s="3"/>
      <c r="M2024" s="17"/>
      <c r="T2024" s="22"/>
    </row>
    <row r="2025" spans="7:20" x14ac:dyDescent="0.35">
      <c r="G2025" s="3"/>
      <c r="H2025" s="7"/>
      <c r="I2025" s="7"/>
      <c r="J2025" s="7"/>
      <c r="L2025" s="3"/>
      <c r="M2025" s="17"/>
      <c r="T2025" s="22"/>
    </row>
    <row r="2026" spans="7:20" x14ac:dyDescent="0.35">
      <c r="G2026" s="3"/>
      <c r="H2026" s="7"/>
      <c r="I2026" s="7"/>
      <c r="J2026" s="7"/>
      <c r="L2026" s="3"/>
      <c r="M2026" s="17"/>
      <c r="T2026" s="22"/>
    </row>
    <row r="2027" spans="7:20" x14ac:dyDescent="0.35">
      <c r="G2027" s="3"/>
      <c r="H2027" s="7"/>
      <c r="I2027" s="7"/>
      <c r="J2027" s="7"/>
      <c r="L2027" s="3"/>
      <c r="M2027" s="17"/>
      <c r="T2027" s="22"/>
    </row>
    <row r="2028" spans="7:20" x14ac:dyDescent="0.35">
      <c r="G2028" s="3"/>
      <c r="H2028" s="7"/>
      <c r="I2028" s="7"/>
      <c r="J2028" s="7"/>
      <c r="L2028" s="3"/>
      <c r="M2028" s="17"/>
      <c r="T2028" s="22"/>
    </row>
    <row r="2029" spans="7:20" x14ac:dyDescent="0.35">
      <c r="G2029" s="3"/>
      <c r="H2029" s="7"/>
      <c r="I2029" s="7"/>
      <c r="J2029" s="7"/>
      <c r="L2029" s="3"/>
      <c r="M2029" s="17"/>
      <c r="T2029" s="22"/>
    </row>
    <row r="2030" spans="7:20" x14ac:dyDescent="0.35">
      <c r="G2030" s="3"/>
      <c r="H2030" s="7"/>
      <c r="I2030" s="7"/>
      <c r="J2030" s="7"/>
      <c r="L2030" s="3"/>
      <c r="M2030" s="17"/>
      <c r="T2030" s="22"/>
    </row>
    <row r="2031" spans="7:20" x14ac:dyDescent="0.35">
      <c r="G2031" s="3"/>
      <c r="H2031" s="7"/>
      <c r="I2031" s="7"/>
      <c r="J2031" s="7"/>
      <c r="L2031" s="3"/>
      <c r="M2031" s="17"/>
      <c r="T2031" s="22"/>
    </row>
    <row r="2032" spans="7:20" x14ac:dyDescent="0.35">
      <c r="G2032" s="3"/>
      <c r="H2032" s="7"/>
      <c r="I2032" s="7"/>
      <c r="J2032" s="7"/>
      <c r="L2032" s="3"/>
      <c r="M2032" s="17"/>
      <c r="T2032" s="22"/>
    </row>
    <row r="2033" spans="7:20" x14ac:dyDescent="0.35">
      <c r="G2033" s="3"/>
      <c r="H2033" s="7"/>
      <c r="I2033" s="7"/>
      <c r="J2033" s="7"/>
      <c r="L2033" s="3"/>
      <c r="M2033" s="17"/>
      <c r="T2033" s="22"/>
    </row>
    <row r="2034" spans="7:20" x14ac:dyDescent="0.35">
      <c r="G2034" s="3"/>
      <c r="H2034" s="7"/>
      <c r="I2034" s="7"/>
      <c r="J2034" s="7"/>
      <c r="L2034" s="3"/>
      <c r="M2034" s="17"/>
      <c r="T2034" s="22"/>
    </row>
    <row r="2035" spans="7:20" x14ac:dyDescent="0.35">
      <c r="G2035" s="3"/>
      <c r="H2035" s="7"/>
      <c r="I2035" s="7"/>
      <c r="J2035" s="7"/>
      <c r="L2035" s="3"/>
      <c r="M2035" s="17"/>
      <c r="T2035" s="22"/>
    </row>
    <row r="2036" spans="7:20" x14ac:dyDescent="0.35">
      <c r="G2036" s="3"/>
      <c r="H2036" s="7"/>
      <c r="I2036" s="7"/>
      <c r="J2036" s="7"/>
      <c r="L2036" s="3"/>
      <c r="M2036" s="17"/>
      <c r="T2036" s="22"/>
    </row>
    <row r="2037" spans="7:20" x14ac:dyDescent="0.35">
      <c r="G2037" s="3"/>
      <c r="H2037" s="7"/>
      <c r="I2037" s="7"/>
      <c r="J2037" s="7"/>
      <c r="L2037" s="3"/>
      <c r="M2037" s="17"/>
      <c r="T2037" s="22"/>
    </row>
    <row r="2038" spans="7:20" x14ac:dyDescent="0.35">
      <c r="G2038" s="3"/>
      <c r="H2038" s="7"/>
      <c r="I2038" s="7"/>
      <c r="J2038" s="7"/>
      <c r="L2038" s="3"/>
      <c r="M2038" s="17"/>
      <c r="T2038" s="22"/>
    </row>
    <row r="2039" spans="7:20" x14ac:dyDescent="0.35">
      <c r="G2039" s="3"/>
      <c r="H2039" s="7"/>
      <c r="I2039" s="7"/>
      <c r="J2039" s="7"/>
      <c r="L2039" s="3"/>
      <c r="M2039" s="17"/>
      <c r="T2039" s="22"/>
    </row>
    <row r="2040" spans="7:20" x14ac:dyDescent="0.35">
      <c r="G2040" s="3"/>
      <c r="H2040" s="7"/>
      <c r="I2040" s="7"/>
      <c r="J2040" s="7"/>
      <c r="L2040" s="3"/>
      <c r="M2040" s="17"/>
      <c r="T2040" s="22"/>
    </row>
    <row r="2041" spans="7:20" x14ac:dyDescent="0.35">
      <c r="G2041" s="3"/>
      <c r="H2041" s="7"/>
      <c r="I2041" s="7"/>
      <c r="J2041" s="7"/>
      <c r="L2041" s="3"/>
      <c r="M2041" s="17"/>
      <c r="T2041" s="22"/>
    </row>
    <row r="2042" spans="7:20" x14ac:dyDescent="0.35">
      <c r="G2042" s="3"/>
      <c r="H2042" s="7"/>
      <c r="I2042" s="7"/>
      <c r="J2042" s="7"/>
      <c r="L2042" s="3"/>
      <c r="M2042" s="17"/>
      <c r="T2042" s="22"/>
    </row>
    <row r="2043" spans="7:20" x14ac:dyDescent="0.35">
      <c r="G2043" s="3"/>
      <c r="H2043" s="7"/>
      <c r="I2043" s="7"/>
      <c r="J2043" s="7"/>
      <c r="L2043" s="3"/>
      <c r="M2043" s="17"/>
      <c r="T2043" s="22"/>
    </row>
    <row r="2044" spans="7:20" x14ac:dyDescent="0.35">
      <c r="G2044" s="3"/>
      <c r="H2044" s="7"/>
      <c r="I2044" s="7"/>
      <c r="J2044" s="7"/>
      <c r="L2044" s="3"/>
      <c r="M2044" s="17"/>
      <c r="T2044" s="22"/>
    </row>
    <row r="2045" spans="7:20" x14ac:dyDescent="0.35">
      <c r="G2045" s="3"/>
      <c r="H2045" s="7"/>
      <c r="I2045" s="7"/>
      <c r="J2045" s="7"/>
      <c r="L2045" s="3"/>
      <c r="M2045" s="17"/>
      <c r="T2045" s="22"/>
    </row>
    <row r="2046" spans="7:20" x14ac:dyDescent="0.35">
      <c r="G2046" s="3"/>
      <c r="H2046" s="7"/>
      <c r="I2046" s="7"/>
      <c r="J2046" s="7"/>
      <c r="L2046" s="3"/>
      <c r="M2046" s="17"/>
      <c r="T2046" s="22"/>
    </row>
    <row r="2047" spans="7:20" x14ac:dyDescent="0.35">
      <c r="G2047" s="3"/>
      <c r="H2047" s="7"/>
      <c r="I2047" s="7"/>
      <c r="J2047" s="7"/>
      <c r="L2047" s="3"/>
      <c r="M2047" s="17"/>
      <c r="T2047" s="22"/>
    </row>
    <row r="2048" spans="7:20" x14ac:dyDescent="0.35">
      <c r="G2048" s="3"/>
      <c r="H2048" s="7"/>
      <c r="I2048" s="7"/>
      <c r="J2048" s="7"/>
      <c r="L2048" s="3"/>
      <c r="M2048" s="17"/>
      <c r="T2048" s="22"/>
    </row>
    <row r="2049" spans="7:20" x14ac:dyDescent="0.35">
      <c r="G2049" s="3"/>
      <c r="H2049" s="7"/>
      <c r="I2049" s="7"/>
      <c r="J2049" s="7"/>
      <c r="L2049" s="3"/>
      <c r="M2049" s="17"/>
      <c r="T2049" s="22"/>
    </row>
    <row r="2050" spans="7:20" x14ac:dyDescent="0.35">
      <c r="G2050" s="3"/>
      <c r="H2050" s="7"/>
      <c r="I2050" s="7"/>
      <c r="J2050" s="7"/>
      <c r="L2050" s="3"/>
      <c r="M2050" s="17"/>
      <c r="T2050" s="22"/>
    </row>
    <row r="2051" spans="7:20" x14ac:dyDescent="0.35">
      <c r="G2051" s="3"/>
      <c r="H2051" s="7"/>
      <c r="I2051" s="7"/>
      <c r="J2051" s="7"/>
      <c r="L2051" s="3"/>
      <c r="M2051" s="17"/>
      <c r="T2051" s="22"/>
    </row>
    <row r="2052" spans="7:20" x14ac:dyDescent="0.35">
      <c r="G2052" s="3"/>
      <c r="H2052" s="7"/>
      <c r="I2052" s="7"/>
      <c r="J2052" s="7"/>
      <c r="L2052" s="3"/>
      <c r="M2052" s="17"/>
      <c r="T2052" s="22"/>
    </row>
    <row r="2053" spans="7:20" x14ac:dyDescent="0.35">
      <c r="G2053" s="3"/>
      <c r="H2053" s="7"/>
      <c r="I2053" s="7"/>
      <c r="J2053" s="7"/>
      <c r="L2053" s="3"/>
      <c r="M2053" s="17"/>
      <c r="T2053" s="22"/>
    </row>
    <row r="2054" spans="7:20" x14ac:dyDescent="0.35">
      <c r="G2054" s="3"/>
      <c r="H2054" s="7"/>
      <c r="I2054" s="7"/>
      <c r="J2054" s="7"/>
      <c r="L2054" s="3"/>
      <c r="M2054" s="17"/>
      <c r="T2054" s="22"/>
    </row>
    <row r="2055" spans="7:20" x14ac:dyDescent="0.35">
      <c r="G2055" s="3"/>
      <c r="H2055" s="7"/>
      <c r="I2055" s="7"/>
      <c r="J2055" s="7"/>
      <c r="L2055" s="3"/>
      <c r="M2055" s="17"/>
      <c r="T2055" s="22"/>
    </row>
    <row r="2056" spans="7:20" x14ac:dyDescent="0.35">
      <c r="G2056" s="3"/>
      <c r="H2056" s="7"/>
      <c r="I2056" s="7"/>
      <c r="J2056" s="7"/>
      <c r="L2056" s="3"/>
      <c r="M2056" s="17"/>
      <c r="T2056" s="22"/>
    </row>
    <row r="2057" spans="7:20" x14ac:dyDescent="0.35">
      <c r="G2057" s="3"/>
      <c r="H2057" s="7"/>
      <c r="I2057" s="7"/>
      <c r="J2057" s="7"/>
      <c r="L2057" s="3"/>
      <c r="M2057" s="17"/>
      <c r="T2057" s="22"/>
    </row>
    <row r="2058" spans="7:20" x14ac:dyDescent="0.35">
      <c r="G2058" s="3"/>
      <c r="H2058" s="7"/>
      <c r="I2058" s="7"/>
      <c r="J2058" s="7"/>
      <c r="L2058" s="3"/>
      <c r="M2058" s="17"/>
      <c r="T2058" s="22"/>
    </row>
    <row r="2059" spans="7:20" x14ac:dyDescent="0.35">
      <c r="G2059" s="3"/>
      <c r="H2059" s="7"/>
      <c r="I2059" s="7"/>
      <c r="J2059" s="7"/>
      <c r="L2059" s="3"/>
      <c r="M2059" s="17"/>
      <c r="T2059" s="22"/>
    </row>
    <row r="2060" spans="7:20" x14ac:dyDescent="0.35">
      <c r="G2060" s="3"/>
      <c r="H2060" s="7"/>
      <c r="I2060" s="7"/>
      <c r="J2060" s="7"/>
      <c r="L2060" s="3"/>
      <c r="M2060" s="17"/>
      <c r="T2060" s="22"/>
    </row>
    <row r="2061" spans="7:20" x14ac:dyDescent="0.35">
      <c r="G2061" s="3"/>
      <c r="H2061" s="7"/>
      <c r="I2061" s="7"/>
      <c r="J2061" s="7"/>
      <c r="L2061" s="3"/>
      <c r="M2061" s="17"/>
      <c r="T2061" s="22"/>
    </row>
    <row r="2062" spans="7:20" x14ac:dyDescent="0.35">
      <c r="G2062" s="3"/>
      <c r="H2062" s="7"/>
      <c r="I2062" s="7"/>
      <c r="J2062" s="7"/>
      <c r="L2062" s="3"/>
      <c r="M2062" s="17"/>
      <c r="T2062" s="22"/>
    </row>
    <row r="2063" spans="7:20" x14ac:dyDescent="0.35">
      <c r="G2063" s="3"/>
      <c r="H2063" s="7"/>
      <c r="I2063" s="7"/>
      <c r="J2063" s="7"/>
      <c r="L2063" s="3"/>
      <c r="M2063" s="17"/>
      <c r="T2063" s="22"/>
    </row>
    <row r="2064" spans="7:20" x14ac:dyDescent="0.35">
      <c r="G2064" s="3"/>
      <c r="H2064" s="7"/>
      <c r="I2064" s="7"/>
      <c r="J2064" s="7"/>
      <c r="L2064" s="3"/>
      <c r="M2064" s="17"/>
      <c r="T2064" s="22"/>
    </row>
    <row r="2065" spans="7:20" x14ac:dyDescent="0.35">
      <c r="G2065" s="3"/>
      <c r="H2065" s="7"/>
      <c r="I2065" s="7"/>
      <c r="J2065" s="7"/>
      <c r="L2065" s="3"/>
      <c r="M2065" s="17"/>
      <c r="T2065" s="22"/>
    </row>
    <row r="2066" spans="7:20" x14ac:dyDescent="0.35">
      <c r="G2066" s="3"/>
      <c r="H2066" s="7"/>
      <c r="I2066" s="7"/>
      <c r="J2066" s="7"/>
      <c r="L2066" s="3"/>
      <c r="M2066" s="17"/>
      <c r="T2066" s="22"/>
    </row>
    <row r="2067" spans="7:20" x14ac:dyDescent="0.35">
      <c r="G2067" s="3"/>
      <c r="H2067" s="7"/>
      <c r="I2067" s="7"/>
      <c r="J2067" s="7"/>
      <c r="L2067" s="3"/>
      <c r="M2067" s="17"/>
      <c r="T2067" s="22"/>
    </row>
    <row r="2068" spans="7:20" x14ac:dyDescent="0.35">
      <c r="G2068" s="3"/>
      <c r="H2068" s="7"/>
      <c r="I2068" s="7"/>
      <c r="J2068" s="7"/>
      <c r="L2068" s="3"/>
      <c r="M2068" s="17"/>
      <c r="T2068" s="22"/>
    </row>
    <row r="2069" spans="7:20" x14ac:dyDescent="0.35">
      <c r="G2069" s="3"/>
      <c r="H2069" s="7"/>
      <c r="I2069" s="7"/>
      <c r="J2069" s="7"/>
      <c r="L2069" s="3"/>
      <c r="M2069" s="17"/>
      <c r="T2069" s="22"/>
    </row>
    <row r="2070" spans="7:20" x14ac:dyDescent="0.35">
      <c r="G2070" s="3"/>
      <c r="H2070" s="7"/>
      <c r="I2070" s="7"/>
      <c r="J2070" s="7"/>
      <c r="L2070" s="3"/>
      <c r="M2070" s="17"/>
      <c r="T2070" s="22"/>
    </row>
    <row r="2071" spans="7:20" x14ac:dyDescent="0.35">
      <c r="G2071" s="3"/>
      <c r="H2071" s="7"/>
      <c r="I2071" s="7"/>
      <c r="J2071" s="7"/>
      <c r="L2071" s="3"/>
      <c r="M2071" s="17"/>
      <c r="T2071" s="22"/>
    </row>
    <row r="2072" spans="7:20" x14ac:dyDescent="0.35">
      <c r="G2072" s="3"/>
      <c r="H2072" s="7"/>
      <c r="I2072" s="7"/>
      <c r="J2072" s="7"/>
      <c r="L2072" s="3"/>
      <c r="M2072" s="17"/>
      <c r="T2072" s="22"/>
    </row>
    <row r="2073" spans="7:20" x14ac:dyDescent="0.35">
      <c r="G2073" s="3"/>
      <c r="H2073" s="7"/>
      <c r="I2073" s="7"/>
      <c r="J2073" s="7"/>
      <c r="L2073" s="3"/>
      <c r="M2073" s="17"/>
      <c r="T2073" s="22"/>
    </row>
    <row r="2074" spans="7:20" x14ac:dyDescent="0.35">
      <c r="G2074" s="3"/>
      <c r="H2074" s="7"/>
      <c r="I2074" s="7"/>
      <c r="J2074" s="7"/>
      <c r="L2074" s="3"/>
      <c r="M2074" s="17"/>
      <c r="T2074" s="22"/>
    </row>
    <row r="2075" spans="7:20" x14ac:dyDescent="0.35">
      <c r="G2075" s="3"/>
      <c r="H2075" s="7"/>
      <c r="I2075" s="7"/>
      <c r="J2075" s="7"/>
      <c r="L2075" s="3"/>
      <c r="M2075" s="17"/>
      <c r="T2075" s="22"/>
    </row>
    <row r="2076" spans="7:20" x14ac:dyDescent="0.35">
      <c r="G2076" s="3"/>
      <c r="H2076" s="7"/>
      <c r="I2076" s="7"/>
      <c r="J2076" s="7"/>
      <c r="L2076" s="3"/>
      <c r="M2076" s="17"/>
      <c r="T2076" s="22"/>
    </row>
    <row r="2077" spans="7:20" x14ac:dyDescent="0.35">
      <c r="G2077" s="3"/>
      <c r="H2077" s="7"/>
      <c r="I2077" s="7"/>
      <c r="J2077" s="7"/>
      <c r="L2077" s="3"/>
      <c r="M2077" s="17"/>
      <c r="T2077" s="22"/>
    </row>
    <row r="2078" spans="7:20" x14ac:dyDescent="0.35">
      <c r="G2078" s="3"/>
      <c r="H2078" s="7"/>
      <c r="I2078" s="7"/>
      <c r="J2078" s="7"/>
      <c r="L2078" s="3"/>
      <c r="M2078" s="17"/>
      <c r="T2078" s="22"/>
    </row>
    <row r="2079" spans="7:20" x14ac:dyDescent="0.35">
      <c r="G2079" s="3"/>
      <c r="H2079" s="7"/>
      <c r="I2079" s="7"/>
      <c r="J2079" s="7"/>
      <c r="L2079" s="3"/>
      <c r="M2079" s="17"/>
      <c r="T2079" s="22"/>
    </row>
    <row r="2080" spans="7:20" x14ac:dyDescent="0.35">
      <c r="G2080" s="3"/>
      <c r="H2080" s="7"/>
      <c r="I2080" s="7"/>
      <c r="J2080" s="7"/>
      <c r="L2080" s="3"/>
      <c r="M2080" s="17"/>
      <c r="T2080" s="22"/>
    </row>
    <row r="2081" spans="7:20" x14ac:dyDescent="0.35">
      <c r="G2081" s="3"/>
      <c r="H2081" s="7"/>
      <c r="I2081" s="7"/>
      <c r="J2081" s="7"/>
      <c r="L2081" s="3"/>
      <c r="M2081" s="17"/>
      <c r="T2081" s="22"/>
    </row>
    <row r="2082" spans="7:20" x14ac:dyDescent="0.35">
      <c r="G2082" s="3"/>
      <c r="H2082" s="7"/>
      <c r="I2082" s="7"/>
      <c r="J2082" s="7"/>
      <c r="L2082" s="3"/>
      <c r="M2082" s="17"/>
      <c r="T2082" s="22"/>
    </row>
    <row r="2083" spans="7:20" x14ac:dyDescent="0.35">
      <c r="G2083" s="3"/>
      <c r="H2083" s="7"/>
      <c r="I2083" s="7"/>
      <c r="J2083" s="7"/>
      <c r="L2083" s="3"/>
      <c r="M2083" s="17"/>
      <c r="T2083" s="22"/>
    </row>
    <row r="2084" spans="7:20" x14ac:dyDescent="0.35">
      <c r="G2084" s="3"/>
      <c r="H2084" s="7"/>
      <c r="I2084" s="7"/>
      <c r="J2084" s="7"/>
      <c r="L2084" s="3"/>
      <c r="M2084" s="17"/>
      <c r="T2084" s="22"/>
    </row>
    <row r="2085" spans="7:20" x14ac:dyDescent="0.35">
      <c r="G2085" s="3"/>
      <c r="H2085" s="7"/>
      <c r="I2085" s="7"/>
      <c r="J2085" s="7"/>
      <c r="L2085" s="3"/>
      <c r="M2085" s="17"/>
      <c r="T2085" s="22"/>
    </row>
    <row r="2086" spans="7:20" x14ac:dyDescent="0.35">
      <c r="G2086" s="3"/>
      <c r="H2086" s="7"/>
      <c r="I2086" s="7"/>
      <c r="J2086" s="7"/>
      <c r="L2086" s="3"/>
      <c r="M2086" s="17"/>
      <c r="T2086" s="22"/>
    </row>
    <row r="2087" spans="7:20" x14ac:dyDescent="0.35">
      <c r="G2087" s="3"/>
      <c r="H2087" s="7"/>
      <c r="I2087" s="7"/>
      <c r="J2087" s="7"/>
      <c r="L2087" s="3"/>
      <c r="M2087" s="17"/>
      <c r="T2087" s="22"/>
    </row>
    <row r="2088" spans="7:20" x14ac:dyDescent="0.35">
      <c r="G2088" s="3"/>
      <c r="H2088" s="7"/>
      <c r="I2088" s="7"/>
      <c r="J2088" s="7"/>
      <c r="L2088" s="3"/>
      <c r="M2088" s="17"/>
      <c r="T2088" s="22"/>
    </row>
    <row r="2089" spans="7:20" x14ac:dyDescent="0.35">
      <c r="G2089" s="3"/>
      <c r="H2089" s="7"/>
      <c r="I2089" s="7"/>
      <c r="J2089" s="7"/>
      <c r="L2089" s="3"/>
      <c r="M2089" s="17"/>
      <c r="T2089" s="22"/>
    </row>
    <row r="2090" spans="7:20" x14ac:dyDescent="0.35">
      <c r="G2090" s="3"/>
      <c r="H2090" s="7"/>
      <c r="I2090" s="7"/>
      <c r="J2090" s="7"/>
      <c r="L2090" s="3"/>
      <c r="M2090" s="17"/>
      <c r="T2090" s="22"/>
    </row>
    <row r="2091" spans="7:20" x14ac:dyDescent="0.35">
      <c r="G2091" s="3"/>
      <c r="H2091" s="7"/>
      <c r="I2091" s="7"/>
      <c r="J2091" s="7"/>
      <c r="L2091" s="3"/>
      <c r="M2091" s="17"/>
      <c r="T2091" s="22"/>
    </row>
    <row r="2092" spans="7:20" x14ac:dyDescent="0.35">
      <c r="G2092" s="3"/>
      <c r="H2092" s="7"/>
      <c r="I2092" s="7"/>
      <c r="J2092" s="7"/>
      <c r="L2092" s="3"/>
      <c r="M2092" s="17"/>
      <c r="T2092" s="22"/>
    </row>
    <row r="2093" spans="7:20" x14ac:dyDescent="0.35">
      <c r="G2093" s="3"/>
      <c r="H2093" s="7"/>
      <c r="I2093" s="7"/>
      <c r="J2093" s="7"/>
      <c r="L2093" s="3"/>
      <c r="M2093" s="17"/>
      <c r="T2093" s="22"/>
    </row>
    <row r="2094" spans="7:20" x14ac:dyDescent="0.35">
      <c r="G2094" s="3"/>
      <c r="H2094" s="7"/>
      <c r="I2094" s="7"/>
      <c r="J2094" s="7"/>
      <c r="L2094" s="3"/>
      <c r="M2094" s="17"/>
      <c r="T2094" s="22"/>
    </row>
    <row r="2095" spans="7:20" x14ac:dyDescent="0.35">
      <c r="G2095" s="3"/>
      <c r="H2095" s="7"/>
      <c r="I2095" s="7"/>
      <c r="J2095" s="7"/>
      <c r="L2095" s="3"/>
      <c r="M2095" s="17"/>
      <c r="T2095" s="22"/>
    </row>
    <row r="2096" spans="7:20" x14ac:dyDescent="0.35">
      <c r="G2096" s="3"/>
      <c r="H2096" s="7"/>
      <c r="I2096" s="7"/>
      <c r="J2096" s="7"/>
      <c r="L2096" s="3"/>
      <c r="M2096" s="17"/>
      <c r="T2096" s="22"/>
    </row>
    <row r="2097" spans="7:20" x14ac:dyDescent="0.35">
      <c r="G2097" s="3"/>
      <c r="H2097" s="7"/>
      <c r="I2097" s="7"/>
      <c r="J2097" s="7"/>
      <c r="L2097" s="3"/>
      <c r="M2097" s="17"/>
      <c r="T2097" s="22"/>
    </row>
    <row r="2098" spans="7:20" x14ac:dyDescent="0.35">
      <c r="G2098" s="3"/>
      <c r="H2098" s="7"/>
      <c r="I2098" s="7"/>
      <c r="J2098" s="7"/>
      <c r="L2098" s="3"/>
      <c r="M2098" s="17"/>
      <c r="T2098" s="22"/>
    </row>
    <row r="2099" spans="7:20" x14ac:dyDescent="0.35">
      <c r="G2099" s="3"/>
      <c r="H2099" s="7"/>
      <c r="I2099" s="7"/>
      <c r="J2099" s="7"/>
      <c r="L2099" s="3"/>
      <c r="M2099" s="17"/>
      <c r="T2099" s="22"/>
    </row>
    <row r="2100" spans="7:20" x14ac:dyDescent="0.35">
      <c r="G2100" s="3"/>
      <c r="H2100" s="7"/>
      <c r="I2100" s="7"/>
      <c r="J2100" s="7"/>
      <c r="L2100" s="3"/>
      <c r="M2100" s="17"/>
      <c r="T2100" s="22"/>
    </row>
    <row r="2101" spans="7:20" x14ac:dyDescent="0.35">
      <c r="G2101" s="3"/>
      <c r="H2101" s="7"/>
      <c r="I2101" s="7"/>
      <c r="J2101" s="7"/>
      <c r="L2101" s="3"/>
      <c r="M2101" s="17"/>
      <c r="T2101" s="22"/>
    </row>
    <row r="2102" spans="7:20" x14ac:dyDescent="0.35">
      <c r="G2102" s="3"/>
      <c r="H2102" s="7"/>
      <c r="I2102" s="7"/>
      <c r="J2102" s="7"/>
      <c r="L2102" s="3"/>
      <c r="M2102" s="17"/>
      <c r="T2102" s="22"/>
    </row>
    <row r="2103" spans="7:20" x14ac:dyDescent="0.35">
      <c r="G2103" s="3"/>
      <c r="H2103" s="7"/>
      <c r="I2103" s="7"/>
      <c r="J2103" s="7"/>
      <c r="L2103" s="3"/>
      <c r="M2103" s="17"/>
      <c r="T2103" s="22"/>
    </row>
    <row r="2104" spans="7:20" x14ac:dyDescent="0.35">
      <c r="G2104" s="3"/>
      <c r="H2104" s="7"/>
      <c r="I2104" s="7"/>
      <c r="J2104" s="7"/>
      <c r="L2104" s="3"/>
      <c r="M2104" s="17"/>
      <c r="T2104" s="22"/>
    </row>
    <row r="2105" spans="7:20" x14ac:dyDescent="0.35">
      <c r="G2105" s="3"/>
      <c r="H2105" s="7"/>
      <c r="I2105" s="7"/>
      <c r="J2105" s="7"/>
      <c r="L2105" s="3"/>
      <c r="M2105" s="17"/>
      <c r="T2105" s="22"/>
    </row>
    <row r="2106" spans="7:20" x14ac:dyDescent="0.35">
      <c r="G2106" s="3"/>
      <c r="H2106" s="7"/>
      <c r="I2106" s="7"/>
      <c r="J2106" s="7"/>
      <c r="L2106" s="3"/>
      <c r="M2106" s="17"/>
      <c r="T2106" s="22"/>
    </row>
    <row r="2107" spans="7:20" x14ac:dyDescent="0.35">
      <c r="G2107" s="3"/>
      <c r="H2107" s="7"/>
      <c r="I2107" s="7"/>
      <c r="J2107" s="7"/>
      <c r="L2107" s="3"/>
      <c r="M2107" s="17"/>
      <c r="T2107" s="22"/>
    </row>
    <row r="2108" spans="7:20" x14ac:dyDescent="0.35">
      <c r="G2108" s="3"/>
      <c r="H2108" s="7"/>
      <c r="I2108" s="7"/>
      <c r="J2108" s="7"/>
      <c r="L2108" s="3"/>
      <c r="M2108" s="17"/>
      <c r="T2108" s="22"/>
    </row>
    <row r="2109" spans="7:20" x14ac:dyDescent="0.35">
      <c r="G2109" s="3"/>
      <c r="H2109" s="7"/>
      <c r="I2109" s="7"/>
      <c r="J2109" s="7"/>
      <c r="L2109" s="3"/>
      <c r="M2109" s="17"/>
      <c r="T2109" s="22"/>
    </row>
    <row r="2110" spans="7:20" x14ac:dyDescent="0.35">
      <c r="G2110" s="3"/>
      <c r="H2110" s="7"/>
      <c r="I2110" s="7"/>
      <c r="J2110" s="7"/>
      <c r="L2110" s="3"/>
      <c r="M2110" s="17"/>
      <c r="T2110" s="22"/>
    </row>
    <row r="2111" spans="7:20" x14ac:dyDescent="0.35">
      <c r="G2111" s="3"/>
      <c r="H2111" s="7"/>
      <c r="I2111" s="7"/>
      <c r="J2111" s="7"/>
      <c r="L2111" s="3"/>
      <c r="M2111" s="17"/>
      <c r="T2111" s="22"/>
    </row>
    <row r="2112" spans="7:20" x14ac:dyDescent="0.35">
      <c r="G2112" s="3"/>
      <c r="H2112" s="7"/>
      <c r="I2112" s="7"/>
      <c r="J2112" s="7"/>
      <c r="L2112" s="3"/>
      <c r="M2112" s="17"/>
      <c r="T2112" s="22"/>
    </row>
    <row r="2113" spans="7:20" x14ac:dyDescent="0.35">
      <c r="G2113" s="3"/>
      <c r="H2113" s="7"/>
      <c r="I2113" s="7"/>
      <c r="J2113" s="7"/>
      <c r="L2113" s="3"/>
      <c r="M2113" s="17"/>
      <c r="T2113" s="22"/>
    </row>
    <row r="2114" spans="7:20" x14ac:dyDescent="0.35">
      <c r="G2114" s="3"/>
      <c r="H2114" s="7"/>
      <c r="I2114" s="7"/>
      <c r="J2114" s="7"/>
      <c r="L2114" s="3"/>
      <c r="M2114" s="17"/>
      <c r="T2114" s="22"/>
    </row>
    <row r="2115" spans="7:20" x14ac:dyDescent="0.35">
      <c r="G2115" s="3"/>
      <c r="H2115" s="7"/>
      <c r="I2115" s="7"/>
      <c r="J2115" s="7"/>
      <c r="L2115" s="3"/>
      <c r="M2115" s="17"/>
      <c r="T2115" s="22"/>
    </row>
    <row r="2116" spans="7:20" x14ac:dyDescent="0.35">
      <c r="G2116" s="3"/>
      <c r="H2116" s="7"/>
      <c r="I2116" s="7"/>
      <c r="J2116" s="7"/>
      <c r="L2116" s="3"/>
      <c r="M2116" s="17"/>
      <c r="T2116" s="22"/>
    </row>
    <row r="2117" spans="7:20" x14ac:dyDescent="0.35">
      <c r="G2117" s="3"/>
      <c r="H2117" s="7"/>
      <c r="I2117" s="7"/>
      <c r="J2117" s="7"/>
      <c r="L2117" s="3"/>
      <c r="M2117" s="17"/>
      <c r="T2117" s="22"/>
    </row>
    <row r="2118" spans="7:20" x14ac:dyDescent="0.35">
      <c r="G2118" s="3"/>
      <c r="H2118" s="7"/>
      <c r="I2118" s="7"/>
      <c r="J2118" s="7"/>
      <c r="L2118" s="3"/>
      <c r="M2118" s="17"/>
      <c r="T2118" s="22"/>
    </row>
    <row r="2119" spans="7:20" x14ac:dyDescent="0.35">
      <c r="G2119" s="3"/>
      <c r="H2119" s="7"/>
      <c r="I2119" s="7"/>
      <c r="J2119" s="7"/>
      <c r="L2119" s="3"/>
      <c r="M2119" s="17"/>
      <c r="T2119" s="22"/>
    </row>
    <row r="2120" spans="7:20" x14ac:dyDescent="0.35">
      <c r="G2120" s="3"/>
      <c r="H2120" s="7"/>
      <c r="I2120" s="7"/>
      <c r="J2120" s="7"/>
      <c r="L2120" s="3"/>
      <c r="M2120" s="17"/>
      <c r="T2120" s="22"/>
    </row>
    <row r="2121" spans="7:20" x14ac:dyDescent="0.35">
      <c r="G2121" s="3"/>
      <c r="H2121" s="7"/>
      <c r="I2121" s="7"/>
      <c r="J2121" s="7"/>
      <c r="L2121" s="3"/>
      <c r="M2121" s="17"/>
      <c r="T2121" s="22"/>
    </row>
    <row r="2122" spans="7:20" x14ac:dyDescent="0.35">
      <c r="G2122" s="3"/>
      <c r="H2122" s="7"/>
      <c r="I2122" s="7"/>
      <c r="J2122" s="7"/>
      <c r="L2122" s="3"/>
      <c r="M2122" s="17"/>
      <c r="T2122" s="22"/>
    </row>
    <row r="2123" spans="7:20" x14ac:dyDescent="0.35">
      <c r="G2123" s="3"/>
      <c r="H2123" s="7"/>
      <c r="I2123" s="7"/>
      <c r="J2123" s="7"/>
      <c r="L2123" s="3"/>
      <c r="M2123" s="17"/>
      <c r="T2123" s="22"/>
    </row>
    <row r="2124" spans="7:20" x14ac:dyDescent="0.35">
      <c r="G2124" s="3"/>
      <c r="H2124" s="7"/>
      <c r="I2124" s="7"/>
      <c r="J2124" s="7"/>
      <c r="L2124" s="3"/>
      <c r="M2124" s="17"/>
      <c r="T2124" s="22"/>
    </row>
    <row r="2125" spans="7:20" x14ac:dyDescent="0.35">
      <c r="G2125" s="3"/>
      <c r="H2125" s="7"/>
      <c r="I2125" s="7"/>
      <c r="J2125" s="7"/>
      <c r="L2125" s="3"/>
      <c r="M2125" s="17"/>
      <c r="T2125" s="22"/>
    </row>
    <row r="2126" spans="7:20" x14ac:dyDescent="0.35">
      <c r="G2126" s="3"/>
      <c r="H2126" s="7"/>
      <c r="I2126" s="7"/>
      <c r="J2126" s="7"/>
      <c r="L2126" s="3"/>
      <c r="M2126" s="17"/>
      <c r="T2126" s="22"/>
    </row>
    <row r="2127" spans="7:20" x14ac:dyDescent="0.35">
      <c r="G2127" s="3"/>
      <c r="H2127" s="7"/>
      <c r="I2127" s="7"/>
      <c r="J2127" s="7"/>
      <c r="L2127" s="3"/>
      <c r="M2127" s="17"/>
      <c r="T2127" s="22"/>
    </row>
    <row r="2128" spans="7:20" x14ac:dyDescent="0.35">
      <c r="G2128" s="3"/>
      <c r="H2128" s="7"/>
      <c r="I2128" s="7"/>
      <c r="J2128" s="7"/>
      <c r="L2128" s="3"/>
      <c r="M2128" s="17"/>
      <c r="T2128" s="22"/>
    </row>
    <row r="2129" spans="7:20" x14ac:dyDescent="0.35">
      <c r="G2129" s="3"/>
      <c r="H2129" s="7"/>
      <c r="I2129" s="7"/>
      <c r="J2129" s="7"/>
      <c r="L2129" s="3"/>
      <c r="M2129" s="17"/>
      <c r="T2129" s="22"/>
    </row>
    <row r="2130" spans="7:20" x14ac:dyDescent="0.35">
      <c r="G2130" s="3"/>
      <c r="H2130" s="7"/>
      <c r="I2130" s="7"/>
      <c r="J2130" s="7"/>
      <c r="L2130" s="3"/>
      <c r="M2130" s="17"/>
      <c r="T2130" s="22"/>
    </row>
    <row r="2131" spans="7:20" x14ac:dyDescent="0.35">
      <c r="G2131" s="3"/>
      <c r="H2131" s="7"/>
      <c r="I2131" s="7"/>
      <c r="J2131" s="7"/>
      <c r="L2131" s="3"/>
      <c r="M2131" s="17"/>
      <c r="T2131" s="22"/>
    </row>
    <row r="2132" spans="7:20" x14ac:dyDescent="0.35">
      <c r="G2132" s="3"/>
      <c r="H2132" s="7"/>
      <c r="I2132" s="7"/>
      <c r="J2132" s="7"/>
      <c r="L2132" s="26"/>
      <c r="M2132" s="17"/>
      <c r="T2132" s="22"/>
    </row>
    <row r="2133" spans="7:20" x14ac:dyDescent="0.35">
      <c r="G2133" s="3"/>
      <c r="H2133" s="7"/>
      <c r="I2133" s="7"/>
      <c r="J2133" s="7"/>
      <c r="L2133" s="26"/>
      <c r="M2133" s="17"/>
      <c r="T2133" s="22"/>
    </row>
    <row r="2134" spans="7:20" x14ac:dyDescent="0.35">
      <c r="G2134" s="3"/>
      <c r="H2134" s="7"/>
      <c r="I2134" s="7"/>
      <c r="J2134" s="7"/>
      <c r="L2134" s="26"/>
      <c r="M2134" s="17"/>
      <c r="T2134" s="22"/>
    </row>
    <row r="2135" spans="7:20" x14ac:dyDescent="0.35">
      <c r="G2135" s="3"/>
      <c r="H2135" s="7"/>
      <c r="I2135" s="7"/>
      <c r="J2135" s="7"/>
      <c r="L2135" s="3"/>
      <c r="M2135" s="17"/>
      <c r="T2135" s="22"/>
    </row>
    <row r="2136" spans="7:20" x14ac:dyDescent="0.35">
      <c r="G2136" s="3"/>
      <c r="H2136" s="7"/>
      <c r="I2136" s="7"/>
      <c r="J2136" s="7"/>
      <c r="L2136" s="3"/>
      <c r="M2136" s="17"/>
      <c r="T2136" s="22"/>
    </row>
    <row r="2137" spans="7:20" x14ac:dyDescent="0.35">
      <c r="G2137" s="3"/>
      <c r="H2137" s="7"/>
      <c r="I2137" s="7"/>
      <c r="J2137" s="7"/>
      <c r="L2137" s="3"/>
      <c r="M2137" s="17"/>
      <c r="T2137" s="22"/>
    </row>
    <row r="2138" spans="7:20" x14ac:dyDescent="0.35">
      <c r="G2138" s="3"/>
      <c r="H2138" s="7"/>
      <c r="I2138" s="7"/>
      <c r="J2138" s="7"/>
      <c r="L2138" s="3"/>
      <c r="M2138" s="17"/>
      <c r="T2138" s="22"/>
    </row>
    <row r="2139" spans="7:20" x14ac:dyDescent="0.35">
      <c r="G2139" s="3"/>
      <c r="H2139" s="7"/>
      <c r="I2139" s="7"/>
      <c r="J2139" s="7"/>
      <c r="L2139" s="3"/>
      <c r="M2139" s="17"/>
      <c r="T2139" s="22"/>
    </row>
    <row r="2140" spans="7:20" x14ac:dyDescent="0.35">
      <c r="G2140" s="3"/>
      <c r="H2140" s="7"/>
      <c r="I2140" s="7"/>
      <c r="J2140" s="7"/>
      <c r="L2140" s="3"/>
      <c r="M2140" s="17"/>
      <c r="T2140" s="22"/>
    </row>
    <row r="2141" spans="7:20" x14ac:dyDescent="0.35">
      <c r="G2141" s="3"/>
      <c r="H2141" s="7"/>
      <c r="I2141" s="7"/>
      <c r="J2141" s="7"/>
      <c r="L2141" s="3"/>
      <c r="M2141" s="17"/>
      <c r="T2141" s="22"/>
    </row>
    <row r="2142" spans="7:20" x14ac:dyDescent="0.35">
      <c r="G2142" s="3"/>
      <c r="H2142" s="7"/>
      <c r="I2142" s="7"/>
      <c r="J2142" s="7"/>
      <c r="L2142" s="3"/>
      <c r="M2142" s="17"/>
      <c r="T2142" s="22"/>
    </row>
    <row r="2143" spans="7:20" x14ac:dyDescent="0.35">
      <c r="G2143" s="3"/>
      <c r="H2143" s="7"/>
      <c r="I2143" s="7"/>
      <c r="J2143" s="7"/>
      <c r="L2143" s="3"/>
      <c r="M2143" s="17"/>
      <c r="T2143" s="22"/>
    </row>
    <row r="2144" spans="7:20" x14ac:dyDescent="0.35">
      <c r="G2144" s="3"/>
      <c r="H2144" s="7"/>
      <c r="I2144" s="7"/>
      <c r="J2144" s="7"/>
      <c r="L2144" s="3"/>
      <c r="M2144" s="17"/>
      <c r="T2144" s="22"/>
    </row>
    <row r="2145" spans="7:20" x14ac:dyDescent="0.35">
      <c r="G2145" s="3"/>
      <c r="H2145" s="7"/>
      <c r="I2145" s="7"/>
      <c r="J2145" s="7"/>
      <c r="L2145" s="3"/>
      <c r="M2145" s="17"/>
      <c r="T2145" s="22"/>
    </row>
    <row r="2146" spans="7:20" x14ac:dyDescent="0.35">
      <c r="G2146" s="3"/>
      <c r="H2146" s="7"/>
      <c r="I2146" s="7"/>
      <c r="J2146" s="7"/>
      <c r="L2146" s="3"/>
      <c r="M2146" s="17"/>
      <c r="T2146" s="22"/>
    </row>
    <row r="2147" spans="7:20" x14ac:dyDescent="0.35">
      <c r="G2147" s="3"/>
      <c r="H2147" s="7"/>
      <c r="I2147" s="7"/>
      <c r="J2147" s="7"/>
      <c r="L2147" s="3"/>
      <c r="M2147" s="17"/>
      <c r="T2147" s="22"/>
    </row>
    <row r="2148" spans="7:20" x14ac:dyDescent="0.35">
      <c r="G2148" s="3"/>
      <c r="H2148" s="7"/>
      <c r="I2148" s="7"/>
      <c r="J2148" s="7"/>
      <c r="L2148" s="3"/>
      <c r="M2148" s="17"/>
      <c r="T2148" s="22"/>
    </row>
    <row r="2149" spans="7:20" x14ac:dyDescent="0.35">
      <c r="G2149" s="3"/>
      <c r="H2149" s="7"/>
      <c r="I2149" s="7"/>
      <c r="J2149" s="7"/>
      <c r="L2149" s="3"/>
      <c r="M2149" s="17"/>
      <c r="T2149" s="22"/>
    </row>
    <row r="2150" spans="7:20" x14ac:dyDescent="0.35">
      <c r="G2150" s="3"/>
      <c r="H2150" s="7"/>
      <c r="I2150" s="7"/>
      <c r="J2150" s="7"/>
      <c r="L2150" s="3"/>
      <c r="M2150" s="17"/>
      <c r="T2150" s="22"/>
    </row>
    <row r="2151" spans="7:20" x14ac:dyDescent="0.35">
      <c r="G2151" s="3"/>
      <c r="H2151" s="7"/>
      <c r="I2151" s="7"/>
      <c r="J2151" s="7"/>
      <c r="L2151" s="3"/>
      <c r="M2151" s="17"/>
      <c r="T2151" s="22"/>
    </row>
    <row r="2152" spans="7:20" x14ac:dyDescent="0.35">
      <c r="G2152" s="3"/>
      <c r="H2152" s="7"/>
      <c r="I2152" s="7"/>
      <c r="J2152" s="7"/>
      <c r="L2152" s="3"/>
      <c r="M2152" s="17"/>
      <c r="T2152" s="22"/>
    </row>
    <row r="2153" spans="7:20" x14ac:dyDescent="0.35">
      <c r="G2153" s="3"/>
      <c r="H2153" s="7"/>
      <c r="I2153" s="7"/>
      <c r="J2153" s="7"/>
      <c r="L2153" s="3"/>
      <c r="M2153" s="17"/>
      <c r="T2153" s="22"/>
    </row>
    <row r="2154" spans="7:20" x14ac:dyDescent="0.35">
      <c r="G2154" s="3"/>
      <c r="H2154" s="7"/>
      <c r="I2154" s="7"/>
      <c r="J2154" s="7"/>
      <c r="L2154" s="3"/>
      <c r="M2154" s="17"/>
      <c r="T2154" s="22"/>
    </row>
    <row r="2155" spans="7:20" x14ac:dyDescent="0.35">
      <c r="G2155" s="3"/>
      <c r="H2155" s="7"/>
      <c r="I2155" s="7"/>
      <c r="J2155" s="7"/>
      <c r="L2155" s="3"/>
      <c r="M2155" s="17"/>
      <c r="T2155" s="22"/>
    </row>
    <row r="2156" spans="7:20" x14ac:dyDescent="0.35">
      <c r="G2156" s="3"/>
      <c r="H2156" s="7"/>
      <c r="I2156" s="7"/>
      <c r="J2156" s="7"/>
      <c r="L2156" s="3"/>
      <c r="M2156" s="17"/>
      <c r="T2156" s="22"/>
    </row>
    <row r="2157" spans="7:20" x14ac:dyDescent="0.35">
      <c r="G2157" s="3"/>
      <c r="H2157" s="7"/>
      <c r="I2157" s="7"/>
      <c r="J2157" s="7"/>
      <c r="L2157" s="3"/>
      <c r="M2157" s="17"/>
      <c r="T2157" s="22"/>
    </row>
    <row r="2158" spans="7:20" x14ac:dyDescent="0.35">
      <c r="G2158" s="3"/>
      <c r="H2158" s="7"/>
      <c r="I2158" s="7"/>
      <c r="J2158" s="7"/>
      <c r="L2158" s="3"/>
      <c r="M2158" s="17"/>
      <c r="T2158" s="22"/>
    </row>
    <row r="2159" spans="7:20" x14ac:dyDescent="0.35">
      <c r="G2159" s="3"/>
      <c r="H2159" s="7"/>
      <c r="I2159" s="7"/>
      <c r="J2159" s="7"/>
      <c r="L2159" s="3"/>
      <c r="M2159" s="17"/>
      <c r="T2159" s="22"/>
    </row>
    <row r="2160" spans="7:20" x14ac:dyDescent="0.35">
      <c r="G2160" s="3"/>
      <c r="H2160" s="7"/>
      <c r="I2160" s="7"/>
      <c r="J2160" s="7"/>
      <c r="L2160" s="3"/>
      <c r="M2160" s="17"/>
      <c r="T2160" s="22"/>
    </row>
    <row r="2161" spans="7:20" x14ac:dyDescent="0.35">
      <c r="G2161" s="3"/>
      <c r="H2161" s="7"/>
      <c r="I2161" s="7"/>
      <c r="J2161" s="7"/>
      <c r="L2161" s="3"/>
      <c r="M2161" s="17"/>
      <c r="T2161" s="22"/>
    </row>
    <row r="2162" spans="7:20" x14ac:dyDescent="0.35">
      <c r="G2162" s="3"/>
      <c r="H2162" s="7"/>
      <c r="I2162" s="7"/>
      <c r="J2162" s="7"/>
      <c r="L2162" s="3"/>
      <c r="M2162" s="17"/>
      <c r="T2162" s="22"/>
    </row>
    <row r="2163" spans="7:20" x14ac:dyDescent="0.35">
      <c r="G2163" s="3"/>
      <c r="H2163" s="7"/>
      <c r="I2163" s="7"/>
      <c r="J2163" s="7"/>
      <c r="L2163" s="3"/>
      <c r="M2163" s="17"/>
      <c r="T2163" s="22"/>
    </row>
    <row r="2164" spans="7:20" x14ac:dyDescent="0.35">
      <c r="G2164" s="3"/>
      <c r="H2164" s="7"/>
      <c r="I2164" s="7"/>
      <c r="J2164" s="7"/>
      <c r="L2164" s="3"/>
      <c r="M2164" s="17"/>
      <c r="T2164" s="22"/>
    </row>
    <row r="2165" spans="7:20" x14ac:dyDescent="0.35">
      <c r="G2165" s="3"/>
      <c r="H2165" s="7"/>
      <c r="I2165" s="7"/>
      <c r="J2165" s="7"/>
      <c r="L2165" s="3"/>
      <c r="M2165" s="17"/>
      <c r="T2165" s="22"/>
    </row>
    <row r="2166" spans="7:20" x14ac:dyDescent="0.35">
      <c r="G2166" s="3"/>
      <c r="H2166" s="7"/>
      <c r="I2166" s="7"/>
      <c r="J2166" s="7"/>
      <c r="L2166" s="3"/>
      <c r="M2166" s="17"/>
      <c r="T2166" s="22"/>
    </row>
    <row r="2167" spans="7:20" x14ac:dyDescent="0.35">
      <c r="G2167" s="3"/>
      <c r="H2167" s="7"/>
      <c r="I2167" s="7"/>
      <c r="J2167" s="7"/>
      <c r="L2167" s="3"/>
      <c r="M2167" s="17"/>
      <c r="T2167" s="22"/>
    </row>
    <row r="2168" spans="7:20" x14ac:dyDescent="0.35">
      <c r="G2168" s="3"/>
      <c r="H2168" s="7"/>
      <c r="I2168" s="7"/>
      <c r="J2168" s="7"/>
      <c r="L2168" s="3"/>
      <c r="M2168" s="17"/>
      <c r="T2168" s="22"/>
    </row>
    <row r="2169" spans="7:20" x14ac:dyDescent="0.35">
      <c r="G2169" s="3"/>
      <c r="H2169" s="7"/>
      <c r="I2169" s="7"/>
      <c r="J2169" s="7"/>
      <c r="L2169" s="3"/>
      <c r="M2169" s="17"/>
      <c r="T2169" s="22"/>
    </row>
    <row r="2170" spans="7:20" x14ac:dyDescent="0.35">
      <c r="G2170" s="3"/>
      <c r="H2170" s="7"/>
      <c r="I2170" s="7"/>
      <c r="J2170" s="7"/>
      <c r="L2170" s="3"/>
      <c r="M2170" s="17"/>
      <c r="T2170" s="22"/>
    </row>
    <row r="2171" spans="7:20" x14ac:dyDescent="0.35">
      <c r="G2171" s="3"/>
      <c r="H2171" s="7"/>
      <c r="I2171" s="7"/>
      <c r="J2171" s="7"/>
      <c r="L2171" s="26"/>
      <c r="M2171" s="17"/>
      <c r="T2171" s="22"/>
    </row>
    <row r="2172" spans="7:20" x14ac:dyDescent="0.35">
      <c r="G2172" s="3"/>
      <c r="H2172" s="7"/>
      <c r="I2172" s="7"/>
      <c r="J2172" s="7"/>
      <c r="L2172" s="3"/>
      <c r="M2172" s="17"/>
      <c r="T2172" s="22"/>
    </row>
    <row r="2173" spans="7:20" x14ac:dyDescent="0.35">
      <c r="G2173" s="3"/>
      <c r="H2173" s="7"/>
      <c r="I2173" s="7"/>
      <c r="J2173" s="7"/>
      <c r="L2173" s="3"/>
      <c r="M2173" s="17"/>
      <c r="T2173" s="22"/>
    </row>
    <row r="2174" spans="7:20" x14ac:dyDescent="0.35">
      <c r="G2174" s="3"/>
      <c r="H2174" s="7"/>
      <c r="I2174" s="7"/>
      <c r="J2174" s="7"/>
      <c r="L2174" s="3"/>
      <c r="M2174" s="17"/>
      <c r="T2174" s="22"/>
    </row>
    <row r="2175" spans="7:20" x14ac:dyDescent="0.35">
      <c r="G2175" s="3"/>
      <c r="H2175" s="7"/>
      <c r="I2175" s="7"/>
      <c r="J2175" s="7"/>
      <c r="L2175" s="3"/>
      <c r="M2175" s="17"/>
      <c r="T2175" s="22"/>
    </row>
    <row r="2176" spans="7:20" x14ac:dyDescent="0.35">
      <c r="G2176" s="3"/>
      <c r="H2176" s="7"/>
      <c r="I2176" s="7"/>
      <c r="J2176" s="7"/>
      <c r="L2176" s="3"/>
      <c r="M2176" s="17"/>
      <c r="T2176" s="22"/>
    </row>
    <row r="2177" spans="7:20" x14ac:dyDescent="0.35">
      <c r="G2177" s="3"/>
      <c r="H2177" s="7"/>
      <c r="I2177" s="7"/>
      <c r="J2177" s="7"/>
      <c r="L2177" s="3"/>
      <c r="M2177" s="17"/>
      <c r="T2177" s="22"/>
    </row>
    <row r="2178" spans="7:20" x14ac:dyDescent="0.35">
      <c r="G2178" s="3"/>
      <c r="H2178" s="7"/>
      <c r="I2178" s="7"/>
      <c r="J2178" s="7"/>
      <c r="L2178" s="3"/>
      <c r="M2178" s="17"/>
      <c r="T2178" s="22"/>
    </row>
    <row r="2179" spans="7:20" x14ac:dyDescent="0.35">
      <c r="G2179" s="3"/>
      <c r="H2179" s="7"/>
      <c r="I2179" s="7"/>
      <c r="J2179" s="7"/>
      <c r="L2179" s="3"/>
      <c r="M2179" s="17"/>
      <c r="T2179" s="22"/>
    </row>
    <row r="2180" spans="7:20" x14ac:dyDescent="0.35">
      <c r="G2180" s="3"/>
      <c r="H2180" s="7"/>
      <c r="I2180" s="7"/>
      <c r="J2180" s="7"/>
      <c r="L2180" s="3"/>
      <c r="M2180" s="17"/>
      <c r="T2180" s="22"/>
    </row>
    <row r="2181" spans="7:20" x14ac:dyDescent="0.35">
      <c r="G2181" s="3"/>
      <c r="H2181" s="7"/>
      <c r="I2181" s="7"/>
      <c r="J2181" s="7"/>
      <c r="L2181" s="3"/>
      <c r="M2181" s="17"/>
      <c r="T2181" s="22"/>
    </row>
    <row r="2182" spans="7:20" x14ac:dyDescent="0.35">
      <c r="G2182" s="3"/>
      <c r="H2182" s="7"/>
      <c r="I2182" s="7"/>
      <c r="J2182" s="7"/>
      <c r="L2182" s="3"/>
      <c r="M2182" s="17"/>
      <c r="T2182" s="22"/>
    </row>
    <row r="2183" spans="7:20" x14ac:dyDescent="0.35">
      <c r="G2183" s="3"/>
      <c r="H2183" s="7"/>
      <c r="I2183" s="7"/>
      <c r="J2183" s="7"/>
      <c r="L2183" s="3"/>
      <c r="M2183" s="17"/>
      <c r="T2183" s="22"/>
    </row>
    <row r="2184" spans="7:20" x14ac:dyDescent="0.35">
      <c r="G2184" s="3"/>
      <c r="H2184" s="7"/>
      <c r="I2184" s="7"/>
      <c r="J2184" s="7"/>
      <c r="L2184" s="3"/>
      <c r="M2184" s="17"/>
      <c r="T2184" s="22"/>
    </row>
    <row r="2185" spans="7:20" x14ac:dyDescent="0.35">
      <c r="G2185" s="3"/>
      <c r="H2185" s="7"/>
      <c r="I2185" s="7"/>
      <c r="J2185" s="7"/>
      <c r="L2185" s="3"/>
      <c r="M2185" s="17"/>
      <c r="T2185" s="22"/>
    </row>
    <row r="2186" spans="7:20" x14ac:dyDescent="0.35">
      <c r="G2186" s="3"/>
      <c r="H2186" s="7"/>
      <c r="I2186" s="7"/>
      <c r="J2186" s="7"/>
      <c r="L2186" s="3"/>
      <c r="M2186" s="17"/>
      <c r="T2186" s="22"/>
    </row>
    <row r="2187" spans="7:20" x14ac:dyDescent="0.35">
      <c r="G2187" s="3"/>
      <c r="H2187" s="7"/>
      <c r="I2187" s="7"/>
      <c r="J2187" s="7"/>
      <c r="L2187" s="3"/>
      <c r="M2187" s="17"/>
      <c r="T2187" s="22"/>
    </row>
    <row r="2188" spans="7:20" x14ac:dyDescent="0.35">
      <c r="G2188" s="3"/>
      <c r="H2188" s="7"/>
      <c r="I2188" s="7"/>
      <c r="J2188" s="7"/>
      <c r="L2188" s="3"/>
      <c r="M2188" s="17"/>
      <c r="T2188" s="22"/>
    </row>
    <row r="2189" spans="7:20" x14ac:dyDescent="0.35">
      <c r="G2189" s="3"/>
      <c r="H2189" s="7"/>
      <c r="I2189" s="7"/>
      <c r="J2189" s="7"/>
      <c r="L2189" s="3"/>
      <c r="M2189" s="17"/>
      <c r="T2189" s="22"/>
    </row>
    <row r="2190" spans="7:20" x14ac:dyDescent="0.35">
      <c r="G2190" s="3"/>
      <c r="H2190" s="7"/>
      <c r="I2190" s="7"/>
      <c r="J2190" s="7"/>
      <c r="L2190" s="3"/>
      <c r="M2190" s="17"/>
      <c r="T2190" s="22"/>
    </row>
    <row r="2191" spans="7:20" x14ac:dyDescent="0.35">
      <c r="G2191" s="3"/>
      <c r="H2191" s="7"/>
      <c r="I2191" s="7"/>
      <c r="J2191" s="7"/>
      <c r="L2191" s="3"/>
      <c r="M2191" s="17"/>
      <c r="T2191" s="22"/>
    </row>
    <row r="2192" spans="7:20" x14ac:dyDescent="0.35">
      <c r="G2192" s="3"/>
      <c r="H2192" s="7"/>
      <c r="I2192" s="7"/>
      <c r="J2192" s="7"/>
      <c r="L2192" s="3"/>
      <c r="M2192" s="17"/>
      <c r="T2192" s="22"/>
    </row>
    <row r="2193" spans="7:20" x14ac:dyDescent="0.35">
      <c r="G2193" s="3"/>
      <c r="H2193" s="7"/>
      <c r="I2193" s="7"/>
      <c r="J2193" s="7"/>
      <c r="L2193" s="3"/>
      <c r="M2193" s="17"/>
      <c r="T2193" s="22"/>
    </row>
    <row r="2194" spans="7:20" x14ac:dyDescent="0.35">
      <c r="G2194" s="3"/>
      <c r="H2194" s="7"/>
      <c r="I2194" s="7"/>
      <c r="J2194" s="7"/>
      <c r="L2194" s="3"/>
      <c r="M2194" s="17"/>
      <c r="T2194" s="22"/>
    </row>
    <row r="2195" spans="7:20" x14ac:dyDescent="0.35">
      <c r="G2195" s="3"/>
      <c r="H2195" s="7"/>
      <c r="I2195" s="7"/>
      <c r="J2195" s="7"/>
      <c r="L2195" s="3"/>
      <c r="M2195" s="17"/>
      <c r="T2195" s="22"/>
    </row>
    <row r="2196" spans="7:20" x14ac:dyDescent="0.35">
      <c r="G2196" s="3"/>
      <c r="H2196" s="7"/>
      <c r="I2196" s="7"/>
      <c r="J2196" s="7"/>
      <c r="L2196" s="3"/>
      <c r="M2196" s="17"/>
      <c r="T2196" s="22"/>
    </row>
    <row r="2197" spans="7:20" x14ac:dyDescent="0.35">
      <c r="G2197" s="3"/>
      <c r="H2197" s="7"/>
      <c r="I2197" s="7"/>
      <c r="J2197" s="7"/>
      <c r="L2197" s="3"/>
      <c r="M2197" s="17"/>
      <c r="T2197" s="22"/>
    </row>
    <row r="2198" spans="7:20" x14ac:dyDescent="0.35">
      <c r="G2198" s="3"/>
      <c r="H2198" s="7"/>
      <c r="I2198" s="7"/>
      <c r="J2198" s="7"/>
      <c r="L2198" s="26"/>
      <c r="M2198" s="17"/>
      <c r="T2198" s="22"/>
    </row>
    <row r="2199" spans="7:20" x14ac:dyDescent="0.35">
      <c r="G2199" s="3"/>
      <c r="H2199" s="7"/>
      <c r="I2199" s="7"/>
      <c r="J2199" s="7"/>
      <c r="L2199" s="26"/>
      <c r="M2199" s="17"/>
      <c r="T2199" s="22"/>
    </row>
    <row r="2200" spans="7:20" x14ac:dyDescent="0.35">
      <c r="G2200" s="3"/>
      <c r="H2200" s="7"/>
      <c r="I2200" s="7"/>
      <c r="J2200" s="7"/>
      <c r="L2200" s="3"/>
      <c r="M2200" s="17"/>
      <c r="T2200" s="22"/>
    </row>
    <row r="2201" spans="7:20" x14ac:dyDescent="0.35">
      <c r="G2201" s="3"/>
      <c r="H2201" s="7"/>
      <c r="I2201" s="7"/>
      <c r="J2201" s="7"/>
      <c r="L2201" s="3"/>
      <c r="M2201" s="17"/>
      <c r="T2201" s="22"/>
    </row>
    <row r="2202" spans="7:20" x14ac:dyDescent="0.35">
      <c r="G2202" s="3"/>
      <c r="H2202" s="7"/>
      <c r="I2202" s="7"/>
      <c r="J2202" s="7"/>
      <c r="L2202" s="3"/>
      <c r="M2202" s="17"/>
      <c r="T2202" s="22"/>
    </row>
    <row r="2203" spans="7:20" x14ac:dyDescent="0.35">
      <c r="G2203" s="3"/>
      <c r="H2203" s="7"/>
      <c r="I2203" s="7"/>
      <c r="J2203" s="7"/>
      <c r="L2203" s="3"/>
      <c r="M2203" s="17"/>
      <c r="T2203" s="22"/>
    </row>
    <row r="2204" spans="7:20" x14ac:dyDescent="0.35">
      <c r="G2204" s="3"/>
      <c r="H2204" s="7"/>
      <c r="I2204" s="7"/>
      <c r="J2204" s="7"/>
      <c r="L2204" s="3"/>
      <c r="M2204" s="17"/>
      <c r="T2204" s="22"/>
    </row>
    <row r="2205" spans="7:20" x14ac:dyDescent="0.35">
      <c r="G2205" s="3"/>
      <c r="H2205" s="7"/>
      <c r="I2205" s="7"/>
      <c r="J2205" s="7"/>
      <c r="L2205" s="3"/>
      <c r="M2205" s="17"/>
      <c r="T2205" s="22"/>
    </row>
    <row r="2206" spans="7:20" x14ac:dyDescent="0.35">
      <c r="G2206" s="3"/>
      <c r="H2206" s="7"/>
      <c r="I2206" s="7"/>
      <c r="J2206" s="7"/>
      <c r="L2206" s="3"/>
      <c r="M2206" s="17"/>
      <c r="T2206" s="22"/>
    </row>
    <row r="2207" spans="7:20" x14ac:dyDescent="0.35">
      <c r="G2207" s="3"/>
      <c r="H2207" s="7"/>
      <c r="I2207" s="7"/>
      <c r="J2207" s="7"/>
      <c r="L2207" s="3"/>
      <c r="M2207" s="17"/>
      <c r="T2207" s="22"/>
    </row>
    <row r="2208" spans="7:20" x14ac:dyDescent="0.35">
      <c r="G2208" s="3"/>
      <c r="H2208" s="7"/>
      <c r="I2208" s="7"/>
      <c r="J2208" s="7"/>
      <c r="L2208" s="3"/>
      <c r="M2208" s="17"/>
      <c r="T2208" s="22"/>
    </row>
    <row r="2209" spans="1:20" x14ac:dyDescent="0.35">
      <c r="G2209" s="3"/>
      <c r="H2209" s="7"/>
      <c r="I2209" s="7"/>
      <c r="J2209" s="7"/>
      <c r="L2209" s="3"/>
      <c r="M2209" s="17"/>
      <c r="T2209" s="22"/>
    </row>
    <row r="2210" spans="1:20" x14ac:dyDescent="0.35">
      <c r="G2210" s="3"/>
      <c r="H2210" s="7"/>
      <c r="I2210" s="7"/>
      <c r="J2210" s="7"/>
      <c r="L2210" s="3"/>
      <c r="M2210" s="17"/>
      <c r="T2210" s="22"/>
    </row>
    <row r="2211" spans="1:20" x14ac:dyDescent="0.35">
      <c r="G2211" s="3"/>
      <c r="H2211" s="7"/>
      <c r="I2211" s="7"/>
      <c r="J2211" s="7"/>
      <c r="L2211" s="3"/>
      <c r="M2211" s="17"/>
      <c r="T2211" s="22"/>
    </row>
    <row r="2212" spans="1:20" x14ac:dyDescent="0.35">
      <c r="G2212" s="3"/>
      <c r="H2212" s="7"/>
      <c r="I2212" s="7"/>
      <c r="J2212" s="7"/>
      <c r="L2212" s="3"/>
      <c r="M2212" s="17"/>
      <c r="T2212" s="22"/>
    </row>
    <row r="2213" spans="1:20" x14ac:dyDescent="0.35">
      <c r="G2213" s="3"/>
      <c r="H2213" s="7"/>
      <c r="I2213" s="7"/>
      <c r="J2213" s="7"/>
      <c r="L2213" s="3"/>
      <c r="M2213" s="17"/>
      <c r="T2213" s="22"/>
    </row>
    <row r="2214" spans="1:20" x14ac:dyDescent="0.35">
      <c r="G2214" s="3"/>
      <c r="H2214" s="7"/>
      <c r="I2214" s="7"/>
      <c r="J2214" s="7"/>
      <c r="L2214" s="3"/>
      <c r="M2214" s="17"/>
      <c r="T2214" s="22"/>
    </row>
    <row r="2215" spans="1:20" x14ac:dyDescent="0.35">
      <c r="G2215" s="3"/>
      <c r="H2215" s="7"/>
      <c r="I2215" s="7"/>
      <c r="J2215" s="7"/>
      <c r="L2215" s="3"/>
      <c r="M2215" s="17"/>
      <c r="T2215" s="22"/>
    </row>
    <row r="2216" spans="1:20" x14ac:dyDescent="0.35">
      <c r="G2216" s="3"/>
      <c r="H2216" s="7"/>
      <c r="I2216" s="7"/>
      <c r="J2216" s="7"/>
      <c r="L2216" s="3"/>
      <c r="M2216" s="17"/>
      <c r="T2216" s="22"/>
    </row>
    <row r="2217" spans="1:20" x14ac:dyDescent="0.35">
      <c r="G2217" s="3"/>
      <c r="H2217" s="7"/>
      <c r="I2217" s="7"/>
      <c r="J2217" s="7"/>
      <c r="L2217" s="3"/>
      <c r="M2217" s="17"/>
      <c r="T2217" s="22"/>
    </row>
    <row r="2218" spans="1:20" x14ac:dyDescent="0.35">
      <c r="G2218" s="3"/>
      <c r="H2218" s="7"/>
      <c r="I2218" s="7"/>
      <c r="J2218" s="7"/>
      <c r="L2218" s="3"/>
      <c r="M2218" s="17"/>
      <c r="T2218" s="22"/>
    </row>
    <row r="2219" spans="1:20" x14ac:dyDescent="0.35">
      <c r="G2219" s="3"/>
      <c r="H2219" s="7"/>
      <c r="I2219" s="7"/>
      <c r="J2219" s="7"/>
      <c r="L2219" s="3"/>
      <c r="M2219" s="17"/>
      <c r="T2219" s="22"/>
    </row>
    <row r="2220" spans="1:20" x14ac:dyDescent="0.35">
      <c r="G2220" s="3"/>
      <c r="H2220" s="7"/>
      <c r="I2220" s="7"/>
      <c r="J2220" s="7"/>
      <c r="L2220" s="3"/>
      <c r="M2220" s="17"/>
      <c r="T2220" s="22"/>
    </row>
    <row r="2221" spans="1:20" x14ac:dyDescent="0.35">
      <c r="G2221" s="3"/>
      <c r="H2221" s="7"/>
      <c r="I2221" s="7"/>
      <c r="J2221" s="7"/>
      <c r="L2221" s="26"/>
      <c r="M2221" s="17"/>
      <c r="T2221" s="22"/>
    </row>
    <row r="2222" spans="1:20" x14ac:dyDescent="0.35">
      <c r="G2222" s="3"/>
      <c r="H2222" s="7"/>
      <c r="I2222" s="7"/>
      <c r="J2222" s="7"/>
      <c r="L2222" s="3"/>
      <c r="M2222" s="17"/>
      <c r="T2222" s="22"/>
    </row>
    <row r="2223" spans="1:20" x14ac:dyDescent="0.35">
      <c r="G2223" s="3"/>
      <c r="H2223" s="7"/>
      <c r="I2223" s="7"/>
      <c r="J2223" s="7"/>
      <c r="L2223" s="3"/>
      <c r="M2223" s="17"/>
      <c r="T2223" s="22"/>
    </row>
    <row r="2224" spans="1:20" x14ac:dyDescent="0.35">
      <c r="A2224" s="33"/>
      <c r="B2224" s="18"/>
      <c r="C2224" s="18"/>
      <c r="D2224" s="18"/>
      <c r="E2224" s="18"/>
      <c r="F2224" s="18"/>
      <c r="G2224" s="34"/>
      <c r="H2224" s="15"/>
      <c r="I2224" s="15"/>
      <c r="J2224" s="15"/>
      <c r="L2224" s="34"/>
      <c r="M2224" s="19"/>
      <c r="N2224" s="18"/>
      <c r="O2224" s="18"/>
      <c r="P2224" s="18"/>
      <c r="Q2224" s="18"/>
      <c r="T2224" s="35"/>
    </row>
    <row r="2225" spans="7:20" x14ac:dyDescent="0.35">
      <c r="G2225" s="3"/>
      <c r="H2225" s="7"/>
      <c r="I2225" s="7"/>
      <c r="J2225" s="7"/>
      <c r="L2225" s="3"/>
      <c r="M2225" s="17"/>
      <c r="T2225" s="22"/>
    </row>
    <row r="2226" spans="7:20" x14ac:dyDescent="0.35">
      <c r="G2226" s="3"/>
      <c r="H2226" s="7"/>
      <c r="I2226" s="7"/>
      <c r="J2226" s="7"/>
      <c r="L2226" s="3"/>
      <c r="M2226" s="17"/>
      <c r="T2226" s="22"/>
    </row>
    <row r="2227" spans="7:20" x14ac:dyDescent="0.35">
      <c r="G2227" s="3"/>
      <c r="H2227" s="7"/>
      <c r="I2227" s="7"/>
      <c r="J2227" s="7"/>
      <c r="L2227" s="3"/>
      <c r="M2227" s="17"/>
      <c r="T2227" s="22"/>
    </row>
    <row r="2228" spans="7:20" x14ac:dyDescent="0.35">
      <c r="G2228" s="3"/>
      <c r="H2228" s="7"/>
      <c r="I2228" s="7"/>
      <c r="J2228" s="7"/>
      <c r="L2228" s="3"/>
      <c r="M2228" s="17"/>
      <c r="T2228" s="22"/>
    </row>
    <row r="2229" spans="7:20" x14ac:dyDescent="0.35">
      <c r="G2229" s="3"/>
      <c r="H2229" s="7"/>
      <c r="I2229" s="7"/>
      <c r="J2229" s="7"/>
      <c r="L2229" s="3"/>
      <c r="M2229" s="17"/>
      <c r="T2229" s="22"/>
    </row>
    <row r="2230" spans="7:20" x14ac:dyDescent="0.35">
      <c r="G2230" s="3"/>
      <c r="H2230" s="7"/>
      <c r="I2230" s="7"/>
      <c r="J2230" s="7"/>
      <c r="L2230" s="3"/>
      <c r="M2230" s="17"/>
      <c r="T2230" s="22"/>
    </row>
    <row r="2231" spans="7:20" x14ac:dyDescent="0.35">
      <c r="G2231" s="3"/>
      <c r="H2231" s="7"/>
      <c r="I2231" s="7"/>
      <c r="J2231" s="7"/>
      <c r="L2231" s="3"/>
      <c r="M2231" s="17"/>
      <c r="T2231" s="22"/>
    </row>
    <row r="2232" spans="7:20" x14ac:dyDescent="0.35">
      <c r="G2232" s="3"/>
      <c r="H2232" s="7"/>
      <c r="I2232" s="7"/>
      <c r="J2232" s="7"/>
      <c r="L2232" s="3"/>
      <c r="M2232" s="17"/>
      <c r="T2232" s="22"/>
    </row>
    <row r="2233" spans="7:20" x14ac:dyDescent="0.35">
      <c r="G2233" s="3"/>
      <c r="H2233" s="7"/>
      <c r="I2233" s="7"/>
      <c r="J2233" s="7"/>
      <c r="L2233" s="3"/>
      <c r="M2233" s="17"/>
      <c r="T2233" s="22"/>
    </row>
    <row r="2234" spans="7:20" x14ac:dyDescent="0.35">
      <c r="G2234" s="3"/>
      <c r="H2234" s="7"/>
      <c r="I2234" s="7"/>
      <c r="J2234" s="7"/>
      <c r="L2234" s="3"/>
      <c r="M2234" s="17"/>
      <c r="T2234" s="22"/>
    </row>
    <row r="2235" spans="7:20" x14ac:dyDescent="0.35">
      <c r="G2235" s="3"/>
      <c r="H2235" s="7"/>
      <c r="I2235" s="7"/>
      <c r="J2235" s="7"/>
      <c r="L2235" s="3"/>
      <c r="M2235" s="17"/>
      <c r="T2235" s="22"/>
    </row>
    <row r="2236" spans="7:20" x14ac:dyDescent="0.35">
      <c r="G2236" s="3"/>
      <c r="H2236" s="7"/>
      <c r="I2236" s="7"/>
      <c r="J2236" s="7"/>
      <c r="L2236" s="3"/>
      <c r="M2236" s="17"/>
      <c r="T2236" s="22"/>
    </row>
    <row r="2237" spans="7:20" x14ac:dyDescent="0.35">
      <c r="G2237" s="3"/>
      <c r="H2237" s="7"/>
      <c r="I2237" s="7"/>
      <c r="J2237" s="7"/>
      <c r="L2237" s="3"/>
      <c r="M2237" s="17"/>
      <c r="T2237" s="22"/>
    </row>
    <row r="2238" spans="7:20" x14ac:dyDescent="0.35">
      <c r="G2238" s="3"/>
      <c r="H2238" s="7"/>
      <c r="I2238" s="7"/>
      <c r="J2238" s="7"/>
      <c r="L2238" s="3"/>
      <c r="M2238" s="17"/>
      <c r="T2238" s="22"/>
    </row>
    <row r="2239" spans="7:20" x14ac:dyDescent="0.35">
      <c r="G2239" s="3"/>
      <c r="H2239" s="7"/>
      <c r="I2239" s="7"/>
      <c r="J2239" s="7"/>
      <c r="L2239" s="3"/>
      <c r="M2239" s="17"/>
      <c r="T2239" s="22"/>
    </row>
    <row r="2240" spans="7:20" x14ac:dyDescent="0.35">
      <c r="G2240" s="3"/>
      <c r="H2240" s="7"/>
      <c r="I2240" s="7"/>
      <c r="J2240" s="7"/>
      <c r="L2240" s="3"/>
      <c r="M2240" s="17"/>
      <c r="T2240" s="22"/>
    </row>
    <row r="2241" spans="7:20" x14ac:dyDescent="0.35">
      <c r="G2241" s="3"/>
      <c r="H2241" s="7"/>
      <c r="I2241" s="7"/>
      <c r="J2241" s="7"/>
      <c r="L2241" s="3"/>
      <c r="M2241" s="17"/>
      <c r="T2241" s="22"/>
    </row>
    <row r="2242" spans="7:20" x14ac:dyDescent="0.35">
      <c r="G2242" s="3"/>
      <c r="H2242" s="7"/>
      <c r="I2242" s="7"/>
      <c r="J2242" s="7"/>
      <c r="L2242" s="3"/>
      <c r="M2242" s="17"/>
      <c r="T2242" s="22"/>
    </row>
    <row r="2243" spans="7:20" x14ac:dyDescent="0.35">
      <c r="G2243" s="3"/>
      <c r="H2243" s="7"/>
      <c r="I2243" s="7"/>
      <c r="J2243" s="7"/>
      <c r="L2243" s="3"/>
      <c r="M2243" s="17"/>
      <c r="T2243" s="22"/>
    </row>
    <row r="2244" spans="7:20" x14ac:dyDescent="0.35">
      <c r="G2244" s="3"/>
      <c r="H2244" s="7"/>
      <c r="I2244" s="7"/>
      <c r="J2244" s="7"/>
      <c r="L2244" s="3"/>
      <c r="M2244" s="17"/>
      <c r="T2244" s="22"/>
    </row>
    <row r="2245" spans="7:20" x14ac:dyDescent="0.35">
      <c r="G2245" s="3"/>
      <c r="H2245" s="7"/>
      <c r="I2245" s="7"/>
      <c r="J2245" s="7"/>
      <c r="L2245" s="3"/>
      <c r="M2245" s="17"/>
      <c r="T2245" s="22"/>
    </row>
    <row r="2246" spans="7:20" x14ac:dyDescent="0.35">
      <c r="G2246" s="3"/>
      <c r="H2246" s="7"/>
      <c r="I2246" s="7"/>
      <c r="J2246" s="7"/>
      <c r="L2246" s="3"/>
      <c r="M2246" s="17"/>
      <c r="T2246" s="22"/>
    </row>
    <row r="2247" spans="7:20" x14ac:dyDescent="0.35">
      <c r="G2247" s="3"/>
      <c r="H2247" s="7"/>
      <c r="I2247" s="7"/>
      <c r="J2247" s="7"/>
      <c r="L2247" s="3"/>
      <c r="M2247" s="17"/>
      <c r="T2247" s="22"/>
    </row>
    <row r="2248" spans="7:20" x14ac:dyDescent="0.35">
      <c r="G2248" s="3"/>
      <c r="H2248" s="7"/>
      <c r="I2248" s="7"/>
      <c r="J2248" s="7"/>
      <c r="L2248" s="3"/>
      <c r="M2248" s="17"/>
      <c r="T2248" s="22"/>
    </row>
    <row r="2249" spans="7:20" x14ac:dyDescent="0.35">
      <c r="G2249" s="3"/>
      <c r="H2249" s="7"/>
      <c r="I2249" s="7"/>
      <c r="J2249" s="7"/>
      <c r="L2249" s="3"/>
      <c r="M2249" s="17"/>
      <c r="T2249" s="22"/>
    </row>
    <row r="2250" spans="7:20" x14ac:dyDescent="0.35">
      <c r="G2250" s="3"/>
      <c r="H2250" s="7"/>
      <c r="I2250" s="7"/>
      <c r="J2250" s="7"/>
      <c r="L2250" s="3"/>
      <c r="M2250" s="17"/>
      <c r="T2250" s="22"/>
    </row>
    <row r="2251" spans="7:20" x14ac:dyDescent="0.35">
      <c r="G2251" s="3"/>
      <c r="H2251" s="7"/>
      <c r="I2251" s="7"/>
      <c r="J2251" s="7"/>
      <c r="L2251" s="3"/>
      <c r="M2251" s="17"/>
      <c r="T2251" s="22"/>
    </row>
    <row r="2252" spans="7:20" x14ac:dyDescent="0.35">
      <c r="G2252" s="3"/>
      <c r="H2252" s="7"/>
      <c r="I2252" s="7"/>
      <c r="J2252" s="7"/>
      <c r="L2252" s="3"/>
      <c r="M2252" s="17"/>
      <c r="T2252" s="22"/>
    </row>
    <row r="2253" spans="7:20" x14ac:dyDescent="0.35">
      <c r="G2253" s="3"/>
      <c r="H2253" s="7"/>
      <c r="I2253" s="7"/>
      <c r="J2253" s="7"/>
      <c r="L2253" s="3"/>
      <c r="M2253" s="17"/>
      <c r="T2253" s="22"/>
    </row>
    <row r="2254" spans="7:20" x14ac:dyDescent="0.35">
      <c r="G2254" s="3"/>
      <c r="H2254" s="7"/>
      <c r="I2254" s="7"/>
      <c r="J2254" s="7"/>
      <c r="L2254" s="3"/>
      <c r="M2254" s="17"/>
      <c r="T2254" s="22"/>
    </row>
    <row r="2255" spans="7:20" x14ac:dyDescent="0.35">
      <c r="G2255" s="3"/>
      <c r="H2255" s="7"/>
      <c r="I2255" s="7"/>
      <c r="J2255" s="7"/>
      <c r="L2255" s="3"/>
      <c r="M2255" s="17"/>
      <c r="T2255" s="22"/>
    </row>
    <row r="2256" spans="7:20" x14ac:dyDescent="0.35">
      <c r="G2256" s="3"/>
      <c r="H2256" s="7"/>
      <c r="I2256" s="7"/>
      <c r="J2256" s="7"/>
      <c r="L2256" s="3"/>
      <c r="M2256" s="17"/>
      <c r="T2256" s="22"/>
    </row>
    <row r="2257" spans="1:21" x14ac:dyDescent="0.35">
      <c r="G2257" s="3"/>
      <c r="H2257" s="7"/>
      <c r="I2257" s="7"/>
      <c r="J2257" s="7"/>
      <c r="L2257" s="3"/>
      <c r="M2257" s="17"/>
      <c r="T2257" s="22"/>
    </row>
    <row r="2258" spans="1:21" x14ac:dyDescent="0.35">
      <c r="G2258" s="3"/>
      <c r="H2258" s="7"/>
      <c r="I2258" s="7"/>
      <c r="J2258" s="7"/>
      <c r="L2258" s="3"/>
      <c r="M2258" s="17"/>
      <c r="T2258" s="22"/>
    </row>
    <row r="2259" spans="1:21" x14ac:dyDescent="0.35">
      <c r="G2259" s="3"/>
      <c r="H2259" s="7"/>
      <c r="I2259" s="7"/>
      <c r="J2259" s="7"/>
      <c r="L2259" s="3"/>
      <c r="M2259" s="17"/>
      <c r="T2259" s="22"/>
    </row>
    <row r="2260" spans="1:21" x14ac:dyDescent="0.35">
      <c r="G2260" s="3"/>
      <c r="H2260" s="7"/>
      <c r="I2260" s="7"/>
      <c r="J2260" s="7"/>
      <c r="L2260" s="26"/>
      <c r="M2260" s="17"/>
      <c r="T2260" s="22"/>
    </row>
    <row r="2261" spans="1:21" x14ac:dyDescent="0.35">
      <c r="G2261" s="3"/>
      <c r="H2261" s="7"/>
      <c r="I2261" s="7"/>
      <c r="J2261" s="7"/>
      <c r="L2261" s="3"/>
      <c r="M2261" s="17"/>
      <c r="T2261" s="22"/>
    </row>
    <row r="2262" spans="1:21" x14ac:dyDescent="0.35">
      <c r="G2262" s="3"/>
      <c r="H2262" s="7"/>
      <c r="I2262" s="7"/>
      <c r="J2262" s="7"/>
      <c r="L2262" s="3"/>
      <c r="M2262" s="17"/>
      <c r="T2262" s="22"/>
    </row>
    <row r="2263" spans="1:21" x14ac:dyDescent="0.35">
      <c r="A2263" s="33"/>
      <c r="B2263" s="18"/>
      <c r="C2263" s="18"/>
      <c r="D2263" s="18"/>
      <c r="E2263" s="18"/>
      <c r="F2263" s="18"/>
      <c r="G2263" s="34"/>
      <c r="H2263" s="15"/>
      <c r="I2263" s="15"/>
      <c r="J2263" s="15"/>
      <c r="L2263" s="34"/>
      <c r="M2263" s="19"/>
      <c r="N2263" s="18"/>
      <c r="O2263" s="18"/>
      <c r="P2263" s="18"/>
      <c r="Q2263" s="18"/>
      <c r="T2263" s="35"/>
      <c r="U2263" s="18"/>
    </row>
    <row r="2264" spans="1:21" x14ac:dyDescent="0.35">
      <c r="G2264" s="3"/>
      <c r="H2264" s="7"/>
      <c r="I2264" s="7"/>
      <c r="J2264" s="7"/>
      <c r="L2264" s="3"/>
      <c r="T2264" s="2"/>
    </row>
    <row r="2265" spans="1:21" x14ac:dyDescent="0.35">
      <c r="G2265" s="3"/>
      <c r="H2265" s="7"/>
      <c r="I2265" s="7"/>
      <c r="J2265" s="7"/>
      <c r="L2265" s="3"/>
      <c r="T2265" s="2"/>
    </row>
    <row r="2266" spans="1:21" x14ac:dyDescent="0.35">
      <c r="G2266" s="3"/>
      <c r="H2266" s="7"/>
      <c r="I2266" s="7"/>
      <c r="J2266" s="7"/>
      <c r="L2266" s="3"/>
      <c r="T2266" s="2"/>
    </row>
    <row r="2267" spans="1:21" x14ac:dyDescent="0.35">
      <c r="G2267" s="3"/>
      <c r="H2267" s="7"/>
      <c r="I2267" s="7"/>
      <c r="J2267" s="7"/>
      <c r="L2267" s="3"/>
      <c r="T2267" s="2"/>
    </row>
    <row r="2268" spans="1:21" s="11" customFormat="1" x14ac:dyDescent="0.35">
      <c r="A2268" s="21"/>
      <c r="G2268" s="13"/>
      <c r="H2268" s="12"/>
      <c r="I2268" s="12"/>
      <c r="J2268" s="12"/>
      <c r="L2268" s="13"/>
      <c r="T2268" s="24"/>
    </row>
    <row r="2269" spans="1:21" x14ac:dyDescent="0.35">
      <c r="A2269" s="37"/>
      <c r="H2269" s="1"/>
      <c r="I2269" s="1"/>
      <c r="J2269" s="1"/>
      <c r="L2269" s="1"/>
      <c r="O2269" s="1"/>
      <c r="P2269" s="1"/>
      <c r="Q2269" s="1"/>
      <c r="T2269" s="1"/>
    </row>
    <row r="2270" spans="1:21" x14ac:dyDescent="0.35">
      <c r="A2270" s="37"/>
      <c r="H2270" s="1"/>
      <c r="I2270" s="1"/>
      <c r="J2270" s="1"/>
      <c r="L2270" s="1"/>
      <c r="O2270" s="1"/>
      <c r="P2270" s="1"/>
      <c r="Q2270" s="1"/>
      <c r="T2270" s="2"/>
    </row>
    <row r="2271" spans="1:21" x14ac:dyDescent="0.35">
      <c r="A2271" s="37"/>
      <c r="H2271" s="1"/>
      <c r="I2271" s="1"/>
      <c r="J2271" s="1"/>
      <c r="L2271" s="1"/>
      <c r="M2271" s="38"/>
      <c r="O2271" s="1"/>
      <c r="P2271" s="1"/>
      <c r="Q2271" s="1"/>
      <c r="T2271" s="2"/>
    </row>
    <row r="2272" spans="1:21" x14ac:dyDescent="0.35">
      <c r="A2272" s="37"/>
      <c r="H2272" s="1"/>
      <c r="I2272" s="1"/>
      <c r="J2272" s="1"/>
      <c r="L2272" s="1"/>
      <c r="M2272" s="38"/>
      <c r="O2272" s="1"/>
      <c r="P2272" s="1"/>
      <c r="Q2272" s="1"/>
      <c r="T2272" s="2"/>
    </row>
    <row r="2273" spans="1:20" x14ac:dyDescent="0.35">
      <c r="A2273" s="37"/>
      <c r="H2273" s="1"/>
      <c r="I2273" s="1"/>
      <c r="J2273" s="1"/>
      <c r="L2273" s="1"/>
      <c r="M2273" s="38"/>
      <c r="O2273" s="1"/>
      <c r="P2273" s="1"/>
      <c r="Q2273" s="1"/>
      <c r="T2273" s="2"/>
    </row>
    <row r="2274" spans="1:20" x14ac:dyDescent="0.35">
      <c r="A2274" s="37"/>
      <c r="H2274" s="1"/>
      <c r="I2274" s="1"/>
      <c r="J2274" s="1"/>
      <c r="L2274" s="1"/>
      <c r="M2274" s="38"/>
      <c r="O2274" s="1"/>
      <c r="P2274" s="1"/>
      <c r="Q2274" s="1"/>
      <c r="T2274" s="2"/>
    </row>
    <row r="2275" spans="1:20" x14ac:dyDescent="0.35">
      <c r="A2275" s="37"/>
      <c r="H2275" s="1"/>
      <c r="I2275" s="1"/>
      <c r="J2275" s="1"/>
      <c r="L2275" s="1"/>
      <c r="M2275" s="38"/>
      <c r="O2275" s="1"/>
      <c r="P2275" s="1"/>
      <c r="Q2275" s="1"/>
      <c r="T2275" s="2"/>
    </row>
    <row r="2276" spans="1:20" x14ac:dyDescent="0.35">
      <c r="A2276" s="37"/>
      <c r="H2276" s="1"/>
      <c r="I2276" s="1"/>
      <c r="J2276" s="1"/>
      <c r="L2276" s="1"/>
      <c r="M2276" s="38"/>
      <c r="O2276" s="1"/>
      <c r="P2276" s="1"/>
      <c r="Q2276" s="1"/>
      <c r="T2276" s="2"/>
    </row>
    <row r="2277" spans="1:20" x14ac:dyDescent="0.35">
      <c r="A2277" s="37"/>
      <c r="H2277" s="1"/>
      <c r="I2277" s="1"/>
      <c r="J2277" s="1"/>
      <c r="L2277" s="1"/>
      <c r="M2277" s="38"/>
      <c r="O2277" s="1"/>
      <c r="P2277" s="1"/>
      <c r="Q2277" s="1"/>
      <c r="T2277" s="2"/>
    </row>
    <row r="2278" spans="1:20" x14ac:dyDescent="0.35">
      <c r="A2278" s="37"/>
      <c r="H2278" s="1"/>
      <c r="I2278" s="1"/>
      <c r="J2278" s="1"/>
      <c r="L2278" s="1"/>
      <c r="M2278" s="38"/>
      <c r="O2278" s="1"/>
      <c r="P2278" s="1"/>
      <c r="Q2278" s="1"/>
      <c r="T2278" s="2"/>
    </row>
    <row r="2279" spans="1:20" x14ac:dyDescent="0.35">
      <c r="A2279" s="37"/>
      <c r="H2279" s="1"/>
      <c r="I2279" s="1"/>
      <c r="J2279" s="1"/>
      <c r="L2279" s="1"/>
      <c r="M2279" s="38"/>
      <c r="O2279" s="1"/>
      <c r="P2279" s="1"/>
      <c r="Q2279" s="1"/>
      <c r="T2279" s="2"/>
    </row>
    <row r="2280" spans="1:20" x14ac:dyDescent="0.35">
      <c r="A2280" s="37"/>
      <c r="H2280" s="1"/>
      <c r="I2280" s="1"/>
      <c r="J2280" s="1"/>
      <c r="L2280" s="1"/>
      <c r="M2280" s="38"/>
      <c r="O2280" s="1"/>
      <c r="P2280" s="1"/>
      <c r="Q2280" s="1"/>
      <c r="T2280" s="2"/>
    </row>
    <row r="2281" spans="1:20" x14ac:dyDescent="0.35">
      <c r="A2281" s="37"/>
      <c r="H2281" s="1"/>
      <c r="I2281" s="1"/>
      <c r="J2281" s="1"/>
      <c r="L2281" s="1"/>
      <c r="M2281" s="38"/>
      <c r="O2281" s="1"/>
      <c r="P2281" s="1"/>
      <c r="Q2281" s="1"/>
      <c r="T2281" s="2"/>
    </row>
    <row r="2282" spans="1:20" x14ac:dyDescent="0.35">
      <c r="A2282" s="37"/>
      <c r="H2282" s="1"/>
      <c r="I2282" s="1"/>
      <c r="J2282" s="1"/>
      <c r="L2282" s="1"/>
      <c r="M2282" s="38"/>
      <c r="O2282" s="1"/>
      <c r="P2282" s="1"/>
      <c r="Q2282" s="1"/>
      <c r="T2282" s="2"/>
    </row>
    <row r="2283" spans="1:20" x14ac:dyDescent="0.35">
      <c r="A2283" s="37"/>
      <c r="H2283" s="1"/>
      <c r="I2283" s="1"/>
      <c r="J2283" s="1"/>
      <c r="L2283" s="1"/>
      <c r="M2283" s="38"/>
      <c r="O2283" s="1"/>
      <c r="P2283" s="1"/>
      <c r="Q2283" s="1"/>
      <c r="T2283" s="2"/>
    </row>
    <row r="2284" spans="1:20" x14ac:dyDescent="0.35">
      <c r="A2284" s="37"/>
      <c r="H2284" s="1"/>
      <c r="I2284" s="1"/>
      <c r="J2284" s="1"/>
      <c r="L2284" s="1"/>
      <c r="M2284" s="38"/>
      <c r="O2284" s="1"/>
      <c r="P2284" s="1"/>
      <c r="Q2284" s="1"/>
      <c r="T2284" s="2"/>
    </row>
    <row r="2285" spans="1:20" x14ac:dyDescent="0.35">
      <c r="A2285" s="37"/>
      <c r="H2285" s="1"/>
      <c r="I2285" s="1"/>
      <c r="J2285" s="1"/>
      <c r="L2285" s="1"/>
      <c r="M2285" s="38"/>
      <c r="O2285" s="1"/>
      <c r="P2285" s="1"/>
      <c r="Q2285" s="1"/>
      <c r="T2285" s="2"/>
    </row>
    <row r="2286" spans="1:20" x14ac:dyDescent="0.35">
      <c r="A2286" s="37"/>
      <c r="H2286" s="1"/>
      <c r="I2286" s="1"/>
      <c r="J2286" s="1"/>
      <c r="L2286" s="1"/>
      <c r="M2286" s="38"/>
      <c r="O2286" s="1"/>
      <c r="P2286" s="1"/>
      <c r="Q2286" s="1"/>
      <c r="T2286" s="2"/>
    </row>
    <row r="2287" spans="1:20" x14ac:dyDescent="0.35">
      <c r="A2287" s="37"/>
      <c r="H2287" s="1"/>
      <c r="I2287" s="1"/>
      <c r="J2287" s="1"/>
      <c r="L2287" s="1"/>
      <c r="O2287" s="1"/>
      <c r="P2287" s="1"/>
      <c r="Q2287" s="1"/>
      <c r="T2287" s="1"/>
    </row>
    <row r="2288" spans="1:20" x14ac:dyDescent="0.35">
      <c r="A2288" s="37"/>
      <c r="H2288" s="1"/>
      <c r="I2288" s="1"/>
      <c r="J2288" s="1"/>
      <c r="L2288" s="1"/>
      <c r="O2288" s="1"/>
      <c r="P2288" s="1"/>
      <c r="Q2288" s="1"/>
      <c r="T2288" s="1"/>
    </row>
    <row r="2289" spans="1:20" x14ac:dyDescent="0.35">
      <c r="A2289" s="37"/>
      <c r="H2289" s="1"/>
      <c r="I2289" s="1"/>
      <c r="J2289" s="1"/>
      <c r="L2289" s="1"/>
      <c r="O2289" s="1"/>
      <c r="P2289" s="1"/>
      <c r="Q2289" s="1"/>
      <c r="T2289" s="1"/>
    </row>
    <row r="2290" spans="1:20" x14ac:dyDescent="0.35">
      <c r="A2290" s="37"/>
      <c r="H2290" s="1"/>
      <c r="I2290" s="1"/>
      <c r="J2290" s="1"/>
      <c r="L2290" s="1"/>
      <c r="M2290" s="38"/>
      <c r="O2290" s="1"/>
      <c r="P2290" s="1"/>
      <c r="Q2290" s="1"/>
      <c r="T2290" s="2"/>
    </row>
    <row r="2291" spans="1:20" x14ac:dyDescent="0.35">
      <c r="A2291" s="37"/>
      <c r="H2291" s="1"/>
      <c r="I2291" s="1"/>
      <c r="J2291" s="1"/>
      <c r="L2291" s="1"/>
      <c r="O2291" s="1"/>
      <c r="P2291" s="1"/>
      <c r="Q2291" s="1"/>
      <c r="T2291" s="2"/>
    </row>
    <row r="2292" spans="1:20" x14ac:dyDescent="0.35">
      <c r="A2292" s="37"/>
      <c r="H2292" s="1"/>
      <c r="I2292" s="1"/>
      <c r="J2292" s="1"/>
      <c r="L2292" s="1"/>
      <c r="O2292" s="1"/>
      <c r="P2292" s="1"/>
      <c r="Q2292" s="1"/>
      <c r="T2292" s="2"/>
    </row>
    <row r="2293" spans="1:20" x14ac:dyDescent="0.35">
      <c r="A2293" s="37"/>
      <c r="H2293" s="1"/>
      <c r="I2293" s="1"/>
      <c r="J2293" s="1"/>
      <c r="L2293" s="1"/>
      <c r="O2293" s="1"/>
      <c r="P2293" s="1"/>
      <c r="Q2293" s="1"/>
      <c r="T2293" s="1"/>
    </row>
    <row r="2294" spans="1:20" x14ac:dyDescent="0.35">
      <c r="A2294" s="37"/>
      <c r="H2294" s="1"/>
      <c r="I2294" s="1"/>
      <c r="J2294" s="1"/>
      <c r="L2294" s="1"/>
      <c r="O2294" s="1"/>
      <c r="P2294" s="1"/>
      <c r="Q2294" s="1"/>
      <c r="T2294" s="2"/>
    </row>
    <row r="2295" spans="1:20" x14ac:dyDescent="0.35">
      <c r="A2295" s="37"/>
      <c r="H2295" s="1"/>
      <c r="I2295" s="1"/>
      <c r="J2295" s="1"/>
      <c r="L2295" s="1"/>
      <c r="O2295" s="1"/>
      <c r="P2295" s="1"/>
      <c r="Q2295" s="1"/>
      <c r="T2295" s="2"/>
    </row>
    <row r="2296" spans="1:20" x14ac:dyDescent="0.35">
      <c r="A2296" s="37"/>
      <c r="H2296" s="1"/>
      <c r="I2296" s="1"/>
      <c r="J2296" s="1"/>
      <c r="L2296" s="1"/>
      <c r="O2296" s="1"/>
      <c r="P2296" s="1"/>
      <c r="Q2296" s="1"/>
      <c r="T2296" s="1"/>
    </row>
    <row r="2297" spans="1:20" x14ac:dyDescent="0.35">
      <c r="A2297" s="37"/>
      <c r="H2297" s="1"/>
      <c r="I2297" s="1"/>
      <c r="J2297" s="1"/>
      <c r="L2297" s="1"/>
      <c r="O2297" s="1"/>
      <c r="P2297" s="1"/>
      <c r="Q2297" s="1"/>
      <c r="T2297" s="1"/>
    </row>
    <row r="2298" spans="1:20" x14ac:dyDescent="0.35">
      <c r="A2298" s="37"/>
      <c r="H2298" s="1"/>
      <c r="I2298" s="1"/>
      <c r="J2298" s="1"/>
      <c r="L2298" s="1"/>
      <c r="M2298" s="39"/>
      <c r="N2298" s="1"/>
      <c r="O2298" s="1"/>
      <c r="P2298" s="1"/>
      <c r="Q2298" s="1"/>
      <c r="T2298" s="2"/>
    </row>
    <row r="2299" spans="1:20" x14ac:dyDescent="0.35">
      <c r="A2299" s="37"/>
      <c r="H2299" s="1"/>
      <c r="I2299" s="1"/>
      <c r="J2299" s="1"/>
      <c r="L2299" s="1"/>
      <c r="N2299" s="1"/>
      <c r="O2299" s="1"/>
      <c r="P2299" s="1"/>
      <c r="Q2299" s="1"/>
      <c r="T2299" s="1"/>
    </row>
    <row r="2300" spans="1:20" x14ac:dyDescent="0.35">
      <c r="A2300" s="37"/>
      <c r="H2300" s="1"/>
      <c r="I2300" s="1"/>
      <c r="J2300" s="1"/>
      <c r="L2300" s="1"/>
      <c r="N2300" s="1"/>
      <c r="O2300" s="1"/>
      <c r="P2300" s="1"/>
      <c r="Q2300" s="1"/>
      <c r="T2300" s="2"/>
    </row>
    <row r="2301" spans="1:20" x14ac:dyDescent="0.35">
      <c r="A2301" s="37"/>
      <c r="H2301" s="1"/>
      <c r="I2301" s="1"/>
      <c r="J2301" s="1"/>
      <c r="L2301" s="1"/>
      <c r="N2301" s="1"/>
      <c r="O2301" s="1"/>
      <c r="P2301" s="1"/>
      <c r="Q2301" s="1"/>
      <c r="T2301" s="2"/>
    </row>
    <row r="2302" spans="1:20" x14ac:dyDescent="0.35">
      <c r="A2302" s="37"/>
      <c r="H2302" s="1"/>
      <c r="I2302" s="1"/>
      <c r="J2302" s="1"/>
      <c r="L2302" s="1"/>
      <c r="N2302" s="1"/>
      <c r="O2302" s="1"/>
      <c r="P2302" s="1"/>
      <c r="Q2302" s="1"/>
      <c r="T2302" s="1"/>
    </row>
    <row r="2303" spans="1:20" x14ac:dyDescent="0.35">
      <c r="A2303" s="37"/>
      <c r="H2303" s="1"/>
      <c r="I2303" s="1"/>
      <c r="J2303" s="1"/>
      <c r="L2303" s="1"/>
      <c r="N2303" s="1"/>
      <c r="O2303" s="1"/>
      <c r="P2303" s="1"/>
      <c r="Q2303" s="1"/>
      <c r="T2303" s="2"/>
    </row>
    <row r="2304" spans="1:20" x14ac:dyDescent="0.35">
      <c r="A2304" s="37"/>
      <c r="H2304" s="1"/>
      <c r="I2304" s="1"/>
      <c r="J2304" s="1"/>
      <c r="L2304" s="1"/>
      <c r="N2304" s="1"/>
      <c r="O2304" s="1"/>
      <c r="P2304" s="1"/>
      <c r="Q2304" s="1"/>
      <c r="T2304" s="2"/>
    </row>
    <row r="2305" spans="1:20" x14ac:dyDescent="0.35">
      <c r="A2305" s="37"/>
      <c r="H2305" s="1"/>
      <c r="I2305" s="1"/>
      <c r="J2305" s="1"/>
      <c r="L2305" s="1"/>
      <c r="O2305" s="1"/>
      <c r="P2305" s="1"/>
      <c r="Q2305" s="1"/>
      <c r="T2305" s="2"/>
    </row>
    <row r="2306" spans="1:20" x14ac:dyDescent="0.35">
      <c r="A2306" s="37"/>
      <c r="H2306" s="1"/>
      <c r="I2306" s="1"/>
      <c r="J2306" s="1"/>
      <c r="L2306" s="1"/>
      <c r="O2306" s="1"/>
      <c r="P2306" s="1"/>
      <c r="Q2306" s="1"/>
      <c r="T2306" s="2"/>
    </row>
    <row r="2307" spans="1:20" x14ac:dyDescent="0.35">
      <c r="A2307" s="37"/>
      <c r="H2307" s="1"/>
      <c r="I2307" s="1"/>
      <c r="J2307" s="1"/>
      <c r="L2307" s="1"/>
      <c r="O2307" s="1"/>
      <c r="P2307" s="1"/>
      <c r="Q2307" s="1"/>
      <c r="T2307" s="2"/>
    </row>
    <row r="2308" spans="1:20" x14ac:dyDescent="0.35">
      <c r="A2308" s="37"/>
      <c r="H2308" s="1"/>
      <c r="I2308" s="1"/>
      <c r="J2308" s="1"/>
      <c r="L2308" s="1"/>
      <c r="O2308" s="1"/>
      <c r="P2308" s="1"/>
      <c r="Q2308" s="1"/>
      <c r="T2308" s="2"/>
    </row>
    <row r="2309" spans="1:20" x14ac:dyDescent="0.35">
      <c r="A2309" s="37"/>
      <c r="H2309" s="1"/>
      <c r="I2309" s="1"/>
      <c r="J2309" s="1"/>
      <c r="L2309" s="1"/>
      <c r="N2309" s="1"/>
      <c r="O2309" s="1"/>
      <c r="P2309" s="1"/>
      <c r="Q2309" s="1"/>
      <c r="T2309" s="2"/>
    </row>
    <row r="2310" spans="1:20" x14ac:dyDescent="0.35">
      <c r="A2310" s="37"/>
      <c r="H2310" s="1"/>
      <c r="I2310" s="1"/>
      <c r="J2310" s="1"/>
      <c r="L2310" s="1"/>
      <c r="M2310" s="39"/>
      <c r="N2310" s="1"/>
      <c r="O2310" s="1"/>
      <c r="P2310" s="1"/>
      <c r="Q2310" s="1"/>
      <c r="T2310" s="2"/>
    </row>
    <row r="2311" spans="1:20" x14ac:dyDescent="0.35">
      <c r="A2311" s="37"/>
      <c r="H2311" s="1"/>
      <c r="I2311" s="1"/>
      <c r="J2311" s="1"/>
      <c r="L2311" s="1"/>
      <c r="O2311" s="1"/>
      <c r="P2311" s="1"/>
      <c r="Q2311" s="1"/>
      <c r="T2311" s="1"/>
    </row>
    <row r="2312" spans="1:20" x14ac:dyDescent="0.35">
      <c r="A2312" s="37"/>
      <c r="H2312" s="1"/>
      <c r="I2312" s="1"/>
      <c r="J2312" s="1"/>
      <c r="L2312" s="1"/>
      <c r="N2312" s="1"/>
      <c r="O2312" s="1"/>
      <c r="P2312" s="1"/>
      <c r="Q2312" s="1"/>
      <c r="T2312" s="2"/>
    </row>
    <row r="2313" spans="1:20" x14ac:dyDescent="0.35">
      <c r="A2313" s="37"/>
      <c r="H2313" s="1"/>
      <c r="I2313" s="1"/>
      <c r="J2313" s="1"/>
      <c r="L2313" s="1"/>
      <c r="N2313" s="1"/>
      <c r="O2313" s="1"/>
      <c r="P2313" s="1"/>
      <c r="Q2313" s="1"/>
      <c r="T2313" s="1"/>
    </row>
    <row r="2314" spans="1:20" x14ac:dyDescent="0.35">
      <c r="A2314" s="37"/>
      <c r="H2314" s="1"/>
      <c r="I2314" s="1"/>
      <c r="J2314" s="1"/>
      <c r="L2314" s="1"/>
      <c r="N2314" s="1"/>
      <c r="O2314" s="1"/>
      <c r="P2314" s="1"/>
      <c r="Q2314" s="1"/>
      <c r="T2314" s="1"/>
    </row>
    <row r="2315" spans="1:20" x14ac:dyDescent="0.35">
      <c r="A2315" s="37"/>
      <c r="H2315" s="1"/>
      <c r="I2315" s="1"/>
      <c r="J2315" s="1"/>
      <c r="L2315" s="1"/>
      <c r="N2315" s="1"/>
      <c r="O2315" s="1"/>
      <c r="P2315" s="1"/>
      <c r="Q2315" s="1"/>
      <c r="T2315" s="1"/>
    </row>
    <row r="2316" spans="1:20" x14ac:dyDescent="0.35">
      <c r="A2316" s="37"/>
      <c r="H2316" s="1"/>
      <c r="I2316" s="1"/>
      <c r="J2316" s="1"/>
      <c r="L2316" s="1"/>
      <c r="O2316" s="1"/>
      <c r="P2316" s="1"/>
      <c r="Q2316" s="1"/>
      <c r="T2316" s="2"/>
    </row>
    <row r="2317" spans="1:20" x14ac:dyDescent="0.35">
      <c r="A2317" s="37"/>
      <c r="H2317" s="1"/>
      <c r="I2317" s="1"/>
      <c r="J2317" s="1"/>
      <c r="L2317" s="1"/>
      <c r="N2317" s="1"/>
      <c r="O2317" s="1"/>
      <c r="P2317" s="1"/>
      <c r="Q2317" s="1"/>
      <c r="T2317" s="1"/>
    </row>
    <row r="2318" spans="1:20" x14ac:dyDescent="0.35">
      <c r="A2318" s="37"/>
      <c r="H2318" s="1"/>
      <c r="I2318" s="1"/>
      <c r="J2318" s="1"/>
      <c r="L2318" s="1"/>
      <c r="N2318" s="1"/>
      <c r="O2318" s="1"/>
      <c r="P2318" s="1"/>
      <c r="Q2318" s="1"/>
      <c r="T2318" s="1"/>
    </row>
    <row r="2319" spans="1:20" x14ac:dyDescent="0.35">
      <c r="A2319" s="37"/>
      <c r="H2319" s="1"/>
      <c r="I2319" s="1"/>
      <c r="J2319" s="1"/>
      <c r="L2319" s="1"/>
      <c r="N2319" s="1"/>
      <c r="O2319" s="1"/>
      <c r="P2319" s="1"/>
      <c r="Q2319" s="1"/>
      <c r="T2319" s="2"/>
    </row>
    <row r="2320" spans="1:20" x14ac:dyDescent="0.35">
      <c r="A2320" s="37"/>
      <c r="H2320" s="1"/>
      <c r="I2320" s="1"/>
      <c r="J2320" s="1"/>
      <c r="L2320" s="1"/>
      <c r="N2320" s="1"/>
      <c r="O2320" s="1"/>
      <c r="P2320" s="1"/>
      <c r="Q2320" s="1"/>
      <c r="T2320" s="2"/>
    </row>
    <row r="2321" spans="1:20" x14ac:dyDescent="0.35">
      <c r="A2321" s="37"/>
      <c r="H2321" s="1"/>
      <c r="I2321" s="1"/>
      <c r="J2321" s="1"/>
      <c r="L2321" s="1"/>
      <c r="N2321" s="1"/>
      <c r="O2321" s="1"/>
      <c r="P2321" s="1"/>
      <c r="Q2321" s="1"/>
      <c r="T2321" s="1"/>
    </row>
    <row r="2322" spans="1:20" x14ac:dyDescent="0.35">
      <c r="A2322" s="37"/>
      <c r="H2322" s="1"/>
      <c r="I2322" s="1"/>
      <c r="J2322" s="1"/>
      <c r="L2322" s="1"/>
      <c r="N2322" s="1"/>
      <c r="O2322" s="1"/>
      <c r="P2322" s="1"/>
      <c r="Q2322" s="1"/>
      <c r="T2322" s="2"/>
    </row>
    <row r="2323" spans="1:20" x14ac:dyDescent="0.35">
      <c r="A2323" s="37"/>
      <c r="H2323" s="1"/>
      <c r="I2323" s="1"/>
      <c r="J2323" s="1"/>
      <c r="L2323" s="1"/>
      <c r="N2323" s="1"/>
      <c r="O2323" s="1"/>
      <c r="P2323" s="1"/>
      <c r="Q2323" s="1"/>
      <c r="T2323" s="2"/>
    </row>
    <row r="2324" spans="1:20" x14ac:dyDescent="0.35">
      <c r="A2324" s="37"/>
      <c r="H2324" s="1"/>
      <c r="I2324" s="1"/>
      <c r="J2324" s="1"/>
      <c r="L2324" s="1"/>
      <c r="N2324" s="1"/>
      <c r="O2324" s="1"/>
      <c r="P2324" s="1"/>
      <c r="Q2324" s="1"/>
      <c r="T2324" s="1"/>
    </row>
    <row r="2325" spans="1:20" x14ac:dyDescent="0.35">
      <c r="A2325" s="37"/>
      <c r="H2325" s="1"/>
      <c r="I2325" s="1"/>
      <c r="J2325" s="1"/>
      <c r="L2325" s="1"/>
      <c r="N2325" s="1"/>
      <c r="O2325" s="1"/>
      <c r="P2325" s="1"/>
      <c r="Q2325" s="1"/>
      <c r="T2325" s="2"/>
    </row>
    <row r="2326" spans="1:20" x14ac:dyDescent="0.35">
      <c r="A2326" s="37"/>
      <c r="H2326" s="1"/>
      <c r="I2326" s="1"/>
      <c r="J2326" s="1"/>
      <c r="L2326" s="1"/>
      <c r="N2326" s="1"/>
      <c r="O2326" s="1"/>
      <c r="P2326" s="1"/>
      <c r="Q2326" s="1"/>
      <c r="T2326" s="1"/>
    </row>
    <row r="2327" spans="1:20" x14ac:dyDescent="0.35">
      <c r="A2327" s="37"/>
      <c r="H2327" s="1"/>
      <c r="I2327" s="1"/>
      <c r="J2327" s="1"/>
      <c r="L2327" s="1"/>
      <c r="N2327" s="1"/>
      <c r="O2327" s="1"/>
      <c r="P2327" s="1"/>
      <c r="Q2327" s="1"/>
      <c r="T2327" s="2"/>
    </row>
    <row r="2328" spans="1:20" x14ac:dyDescent="0.35">
      <c r="A2328" s="37"/>
      <c r="H2328" s="1"/>
      <c r="I2328" s="1"/>
      <c r="J2328" s="1"/>
      <c r="L2328" s="1"/>
      <c r="N2328" s="1"/>
      <c r="O2328" s="1"/>
      <c r="P2328" s="1"/>
      <c r="Q2328" s="1"/>
      <c r="T2328" s="2"/>
    </row>
    <row r="2329" spans="1:20" x14ac:dyDescent="0.35">
      <c r="A2329" s="37"/>
      <c r="H2329" s="1"/>
      <c r="I2329" s="1"/>
      <c r="J2329" s="1"/>
      <c r="L2329" s="1"/>
      <c r="O2329" s="1"/>
      <c r="P2329" s="1"/>
      <c r="Q2329" s="1"/>
      <c r="T2329" s="2"/>
    </row>
    <row r="2330" spans="1:20" x14ac:dyDescent="0.35">
      <c r="A2330" s="37"/>
      <c r="H2330" s="1"/>
      <c r="I2330" s="1"/>
      <c r="J2330" s="1"/>
      <c r="L2330" s="1"/>
      <c r="N2330" s="1"/>
      <c r="O2330" s="1"/>
      <c r="P2330" s="1"/>
      <c r="Q2330" s="1"/>
      <c r="T2330" s="1"/>
    </row>
    <row r="2331" spans="1:20" x14ac:dyDescent="0.35">
      <c r="A2331" s="37"/>
      <c r="H2331" s="1"/>
      <c r="I2331" s="1"/>
      <c r="J2331" s="1"/>
      <c r="L2331" s="1"/>
      <c r="O2331" s="1"/>
      <c r="P2331" s="1"/>
      <c r="Q2331" s="1"/>
      <c r="T2331" s="2"/>
    </row>
    <row r="2332" spans="1:20" x14ac:dyDescent="0.35">
      <c r="A2332" s="37"/>
      <c r="H2332" s="1"/>
      <c r="I2332" s="1"/>
      <c r="J2332" s="1"/>
      <c r="L2332" s="1"/>
      <c r="N2332" s="1"/>
      <c r="O2332" s="1"/>
      <c r="P2332" s="1"/>
      <c r="Q2332" s="1"/>
      <c r="T2332" s="1"/>
    </row>
    <row r="2333" spans="1:20" x14ac:dyDescent="0.35">
      <c r="A2333" s="37"/>
      <c r="H2333" s="1"/>
      <c r="I2333" s="1"/>
      <c r="J2333" s="1"/>
      <c r="L2333" s="1"/>
      <c r="O2333" s="1"/>
      <c r="P2333" s="1"/>
      <c r="Q2333" s="1"/>
      <c r="T2333" s="2"/>
    </row>
    <row r="2334" spans="1:20" x14ac:dyDescent="0.35">
      <c r="A2334" s="37"/>
      <c r="H2334" s="1"/>
      <c r="I2334" s="1"/>
      <c r="J2334" s="1"/>
      <c r="L2334" s="1"/>
      <c r="O2334" s="1"/>
      <c r="P2334" s="1"/>
      <c r="Q2334" s="1"/>
      <c r="T2334" s="2"/>
    </row>
    <row r="2335" spans="1:20" x14ac:dyDescent="0.35">
      <c r="A2335" s="37"/>
      <c r="H2335" s="1"/>
      <c r="I2335" s="1"/>
      <c r="J2335" s="1"/>
      <c r="L2335" s="1"/>
      <c r="O2335" s="1"/>
      <c r="P2335" s="1"/>
      <c r="Q2335" s="1"/>
      <c r="T2335" s="2"/>
    </row>
    <row r="2336" spans="1:20" x14ac:dyDescent="0.35">
      <c r="A2336" s="37"/>
      <c r="H2336" s="1"/>
      <c r="I2336" s="1"/>
      <c r="J2336" s="1"/>
      <c r="L2336" s="1"/>
      <c r="O2336" s="1"/>
      <c r="P2336" s="1"/>
      <c r="Q2336" s="1"/>
      <c r="T2336" s="2"/>
    </row>
    <row r="2337" spans="1:20" x14ac:dyDescent="0.35">
      <c r="A2337" s="37"/>
      <c r="H2337" s="1"/>
      <c r="I2337" s="1"/>
      <c r="J2337" s="1"/>
      <c r="L2337" s="1"/>
      <c r="O2337" s="1"/>
      <c r="P2337" s="1"/>
      <c r="Q2337" s="1"/>
      <c r="T2337" s="2"/>
    </row>
    <row r="2338" spans="1:20" x14ac:dyDescent="0.35">
      <c r="A2338" s="37"/>
      <c r="H2338" s="1"/>
      <c r="I2338" s="1"/>
      <c r="J2338" s="1"/>
      <c r="L2338" s="1"/>
      <c r="O2338" s="1"/>
      <c r="P2338" s="1"/>
      <c r="Q2338" s="1"/>
      <c r="T2338" s="2"/>
    </row>
    <row r="2339" spans="1:20" x14ac:dyDescent="0.35">
      <c r="A2339" s="37"/>
      <c r="H2339" s="1"/>
      <c r="I2339" s="1"/>
      <c r="J2339" s="1"/>
      <c r="L2339" s="1"/>
      <c r="O2339" s="1"/>
      <c r="P2339" s="1"/>
      <c r="Q2339" s="1"/>
      <c r="T2339" s="2"/>
    </row>
    <row r="2340" spans="1:20" x14ac:dyDescent="0.35">
      <c r="A2340" s="37"/>
      <c r="H2340" s="1"/>
      <c r="I2340" s="1"/>
      <c r="J2340" s="1"/>
      <c r="L2340" s="1"/>
      <c r="O2340" s="1"/>
      <c r="P2340" s="1"/>
      <c r="Q2340" s="1"/>
      <c r="T2340" s="2"/>
    </row>
    <row r="2341" spans="1:20" x14ac:dyDescent="0.35">
      <c r="A2341" s="37"/>
      <c r="H2341" s="1"/>
      <c r="I2341" s="1"/>
      <c r="J2341" s="1"/>
      <c r="L2341" s="1"/>
      <c r="O2341" s="1"/>
      <c r="P2341" s="1"/>
      <c r="Q2341" s="1"/>
      <c r="T2341" s="2"/>
    </row>
    <row r="2342" spans="1:20" x14ac:dyDescent="0.35">
      <c r="A2342" s="37"/>
      <c r="H2342" s="1"/>
      <c r="I2342" s="1"/>
      <c r="J2342" s="1"/>
      <c r="L2342" s="1"/>
      <c r="O2342" s="1"/>
      <c r="P2342" s="1"/>
      <c r="Q2342" s="1"/>
      <c r="T2342" s="2"/>
    </row>
    <row r="2343" spans="1:20" x14ac:dyDescent="0.35">
      <c r="A2343" s="37"/>
      <c r="H2343" s="1"/>
      <c r="I2343" s="1"/>
      <c r="J2343" s="1"/>
      <c r="L2343" s="1"/>
      <c r="O2343" s="1"/>
      <c r="P2343" s="1"/>
      <c r="Q2343" s="1"/>
      <c r="T2343" s="2"/>
    </row>
    <row r="2344" spans="1:20" x14ac:dyDescent="0.35">
      <c r="A2344" s="37"/>
      <c r="H2344" s="7"/>
      <c r="I2344" s="7"/>
      <c r="J2344" s="7"/>
      <c r="L2344" s="7"/>
      <c r="M2344" s="40"/>
      <c r="N2344" s="1"/>
      <c r="O2344" s="1"/>
      <c r="P2344" s="1"/>
      <c r="Q2344" s="1"/>
      <c r="T2344" s="2"/>
    </row>
    <row r="2345" spans="1:20" x14ac:dyDescent="0.35">
      <c r="A2345" s="37"/>
      <c r="H2345" s="1"/>
      <c r="I2345" s="1"/>
      <c r="J2345" s="1"/>
      <c r="L2345" s="1"/>
      <c r="O2345" s="1"/>
      <c r="P2345" s="1"/>
      <c r="Q2345" s="1"/>
      <c r="T2345" s="2"/>
    </row>
    <row r="2346" spans="1:20" x14ac:dyDescent="0.35">
      <c r="A2346" s="37"/>
      <c r="H2346" s="1"/>
      <c r="I2346" s="1"/>
      <c r="J2346" s="1"/>
      <c r="L2346" s="1"/>
      <c r="M2346" s="39"/>
      <c r="N2346" s="1"/>
      <c r="O2346" s="1"/>
      <c r="P2346" s="1"/>
      <c r="Q2346" s="1"/>
      <c r="T2346" s="1"/>
    </row>
    <row r="2347" spans="1:20" x14ac:dyDescent="0.35">
      <c r="A2347" s="37"/>
      <c r="H2347" s="1"/>
      <c r="I2347" s="1"/>
      <c r="J2347" s="1"/>
      <c r="L2347" s="1"/>
      <c r="N2347" s="1"/>
      <c r="O2347" s="1"/>
      <c r="P2347" s="1"/>
      <c r="Q2347" s="1"/>
      <c r="T2347" s="1"/>
    </row>
    <row r="2348" spans="1:20" x14ac:dyDescent="0.35">
      <c r="A2348" s="37"/>
      <c r="H2348" s="1"/>
      <c r="I2348" s="1"/>
      <c r="J2348" s="1"/>
      <c r="L2348" s="1"/>
      <c r="O2348" s="1"/>
      <c r="P2348" s="1"/>
      <c r="Q2348" s="1"/>
      <c r="T2348" s="2"/>
    </row>
    <row r="2349" spans="1:20" x14ac:dyDescent="0.35">
      <c r="A2349" s="37"/>
      <c r="H2349" s="1"/>
      <c r="I2349" s="1"/>
      <c r="J2349" s="1"/>
      <c r="L2349" s="1"/>
      <c r="O2349" s="1"/>
      <c r="P2349" s="1"/>
      <c r="Q2349" s="1"/>
      <c r="T2349" s="2"/>
    </row>
    <row r="2350" spans="1:20" x14ac:dyDescent="0.35">
      <c r="A2350" s="37"/>
      <c r="H2350" s="1"/>
      <c r="I2350" s="1"/>
      <c r="J2350" s="1"/>
      <c r="L2350" s="1"/>
      <c r="O2350" s="1"/>
      <c r="P2350" s="1"/>
      <c r="Q2350" s="1"/>
      <c r="T2350" s="2"/>
    </row>
    <row r="2351" spans="1:20" x14ac:dyDescent="0.35">
      <c r="A2351" s="37"/>
      <c r="H2351" s="1"/>
      <c r="I2351" s="1"/>
      <c r="J2351" s="1"/>
      <c r="L2351" s="1"/>
      <c r="O2351" s="1"/>
      <c r="P2351" s="1"/>
      <c r="Q2351" s="1"/>
      <c r="T2351" s="2"/>
    </row>
    <row r="2352" spans="1:20" x14ac:dyDescent="0.35">
      <c r="A2352" s="37"/>
      <c r="H2352" s="1"/>
      <c r="I2352" s="1"/>
      <c r="J2352" s="1"/>
      <c r="L2352" s="1"/>
      <c r="O2352" s="1"/>
      <c r="P2352" s="1"/>
      <c r="Q2352" s="1"/>
      <c r="T2352" s="2"/>
    </row>
    <row r="2353" spans="1:20" x14ac:dyDescent="0.35">
      <c r="A2353" s="37"/>
      <c r="H2353" s="1"/>
      <c r="I2353" s="1"/>
      <c r="J2353" s="1"/>
      <c r="L2353" s="1"/>
      <c r="O2353" s="1"/>
      <c r="P2353" s="1"/>
      <c r="Q2353" s="1"/>
      <c r="T2353" s="2"/>
    </row>
    <row r="2354" spans="1:20" x14ac:dyDescent="0.35">
      <c r="A2354" s="37"/>
      <c r="H2354" s="1"/>
      <c r="I2354" s="1"/>
      <c r="J2354" s="1"/>
      <c r="L2354" s="1"/>
      <c r="O2354" s="1"/>
      <c r="P2354" s="1"/>
      <c r="Q2354" s="1"/>
      <c r="T2354" s="2"/>
    </row>
    <row r="2355" spans="1:20" x14ac:dyDescent="0.35">
      <c r="A2355" s="37"/>
      <c r="H2355" s="1"/>
      <c r="I2355" s="1"/>
      <c r="J2355" s="1"/>
      <c r="L2355" s="1"/>
      <c r="M2355" s="38"/>
      <c r="O2355" s="1"/>
      <c r="P2355" s="1"/>
      <c r="Q2355" s="1"/>
      <c r="T2355" s="2"/>
    </row>
    <row r="2356" spans="1:20" x14ac:dyDescent="0.35">
      <c r="A2356" s="37"/>
      <c r="H2356" s="1"/>
      <c r="I2356" s="1"/>
      <c r="J2356" s="1"/>
      <c r="L2356" s="1"/>
      <c r="N2356" s="1"/>
      <c r="O2356" s="1"/>
      <c r="P2356" s="1"/>
      <c r="Q2356" s="1"/>
      <c r="T2356" s="1"/>
    </row>
    <row r="2357" spans="1:20" x14ac:dyDescent="0.35">
      <c r="A2357" s="37"/>
      <c r="H2357" s="1"/>
      <c r="I2357" s="1"/>
      <c r="J2357" s="1"/>
      <c r="L2357" s="1"/>
      <c r="N2357" s="1"/>
      <c r="O2357" s="1"/>
      <c r="P2357" s="1"/>
      <c r="Q2357" s="1"/>
      <c r="T2357" s="1"/>
    </row>
    <row r="2358" spans="1:20" x14ac:dyDescent="0.35">
      <c r="A2358" s="37"/>
      <c r="H2358" s="1"/>
      <c r="I2358" s="1"/>
      <c r="J2358" s="1"/>
      <c r="L2358" s="1"/>
      <c r="N2358" s="1"/>
      <c r="O2358" s="1"/>
      <c r="P2358" s="1"/>
      <c r="Q2358" s="1"/>
      <c r="T2358" s="1"/>
    </row>
    <row r="2359" spans="1:20" x14ac:dyDescent="0.35">
      <c r="A2359" s="37"/>
      <c r="H2359" s="1"/>
      <c r="I2359" s="1"/>
      <c r="J2359" s="1"/>
      <c r="L2359" s="1"/>
      <c r="N2359" s="1"/>
      <c r="O2359" s="1"/>
      <c r="P2359" s="1"/>
      <c r="Q2359" s="1"/>
      <c r="T2359" s="1"/>
    </row>
    <row r="2360" spans="1:20" x14ac:dyDescent="0.35">
      <c r="A2360" s="37"/>
      <c r="H2360" s="1"/>
      <c r="I2360" s="1"/>
      <c r="J2360" s="1"/>
      <c r="L2360" s="1"/>
      <c r="N2360" s="1"/>
      <c r="O2360" s="1"/>
      <c r="P2360" s="1"/>
      <c r="Q2360" s="1"/>
      <c r="T2360" s="2"/>
    </row>
    <row r="2361" spans="1:20" x14ac:dyDescent="0.35">
      <c r="A2361" s="37"/>
      <c r="H2361" s="1"/>
      <c r="I2361" s="1"/>
      <c r="J2361" s="1"/>
      <c r="L2361" s="1"/>
      <c r="N2361" s="1"/>
      <c r="O2361" s="1"/>
      <c r="P2361" s="1"/>
      <c r="Q2361" s="1"/>
      <c r="T2361" s="1"/>
    </row>
    <row r="2362" spans="1:20" x14ac:dyDescent="0.35">
      <c r="A2362" s="37"/>
      <c r="H2362" s="1"/>
      <c r="I2362" s="1"/>
      <c r="J2362" s="1"/>
      <c r="L2362" s="1"/>
      <c r="O2362" s="1"/>
      <c r="P2362" s="1"/>
      <c r="Q2362" s="1"/>
      <c r="T2362" s="2"/>
    </row>
    <row r="2363" spans="1:20" x14ac:dyDescent="0.35">
      <c r="A2363" s="37"/>
      <c r="H2363" s="1"/>
      <c r="I2363" s="1"/>
      <c r="J2363" s="1"/>
      <c r="L2363" s="1"/>
      <c r="N2363" s="1"/>
      <c r="O2363" s="1"/>
      <c r="P2363" s="1"/>
      <c r="Q2363" s="1"/>
      <c r="T2363" s="1"/>
    </row>
    <row r="2364" spans="1:20" x14ac:dyDescent="0.35">
      <c r="A2364" s="37"/>
      <c r="H2364" s="1"/>
      <c r="I2364" s="1"/>
      <c r="J2364" s="1"/>
      <c r="L2364" s="1"/>
      <c r="N2364" s="1"/>
      <c r="O2364" s="1"/>
      <c r="P2364" s="1"/>
      <c r="Q2364" s="1"/>
      <c r="T2364" s="1"/>
    </row>
    <row r="2365" spans="1:20" x14ac:dyDescent="0.35">
      <c r="A2365" s="37"/>
      <c r="H2365" s="1"/>
      <c r="I2365" s="1"/>
      <c r="J2365" s="1"/>
      <c r="L2365" s="1"/>
      <c r="N2365" s="1"/>
      <c r="O2365" s="1"/>
      <c r="P2365" s="1"/>
      <c r="Q2365" s="1"/>
      <c r="T2365" s="1"/>
    </row>
    <row r="2366" spans="1:20" x14ac:dyDescent="0.35">
      <c r="A2366" s="37"/>
      <c r="H2366" s="1"/>
      <c r="I2366" s="1"/>
      <c r="J2366" s="1"/>
      <c r="L2366" s="1"/>
      <c r="M2366" s="38"/>
      <c r="O2366" s="1"/>
      <c r="P2366" s="1"/>
      <c r="Q2366" s="1"/>
      <c r="T2366" s="2"/>
    </row>
    <row r="2367" spans="1:20" x14ac:dyDescent="0.35">
      <c r="A2367" s="37"/>
      <c r="H2367" s="1"/>
      <c r="I2367" s="1"/>
      <c r="J2367" s="1"/>
      <c r="L2367" s="1"/>
      <c r="M2367" s="38"/>
      <c r="O2367" s="1"/>
      <c r="P2367" s="1"/>
      <c r="Q2367" s="1"/>
      <c r="T2367" s="2"/>
    </row>
    <row r="2368" spans="1:20" x14ac:dyDescent="0.35">
      <c r="A2368" s="37"/>
      <c r="H2368" s="1"/>
      <c r="I2368" s="1"/>
      <c r="J2368" s="1"/>
      <c r="L2368" s="1"/>
      <c r="M2368" s="38"/>
      <c r="O2368" s="1"/>
      <c r="P2368" s="1"/>
      <c r="Q2368" s="1"/>
      <c r="T2368" s="2"/>
    </row>
    <row r="2369" spans="1:20" x14ac:dyDescent="0.35">
      <c r="A2369" s="37"/>
      <c r="H2369" s="1"/>
      <c r="I2369" s="1"/>
      <c r="J2369" s="1"/>
      <c r="L2369" s="1"/>
      <c r="M2369" s="38"/>
      <c r="O2369" s="1"/>
      <c r="P2369" s="1"/>
      <c r="Q2369" s="1"/>
      <c r="T2369" s="2"/>
    </row>
    <row r="2370" spans="1:20" x14ac:dyDescent="0.35">
      <c r="A2370" s="37"/>
      <c r="H2370" s="1"/>
      <c r="I2370" s="1"/>
      <c r="J2370" s="1"/>
      <c r="L2370" s="1"/>
      <c r="M2370" s="38"/>
      <c r="O2370" s="1"/>
      <c r="P2370" s="1"/>
      <c r="Q2370" s="1"/>
      <c r="T2370" s="2"/>
    </row>
    <row r="2371" spans="1:20" x14ac:dyDescent="0.35">
      <c r="A2371" s="37"/>
      <c r="H2371" s="1"/>
      <c r="I2371" s="1"/>
      <c r="J2371" s="1"/>
      <c r="L2371" s="1"/>
      <c r="M2371" s="38"/>
      <c r="O2371" s="1"/>
      <c r="P2371" s="1"/>
      <c r="Q2371" s="1"/>
      <c r="T2371" s="2"/>
    </row>
    <row r="2372" spans="1:20" x14ac:dyDescent="0.35">
      <c r="A2372" s="37"/>
      <c r="H2372" s="1"/>
      <c r="I2372" s="1"/>
      <c r="J2372" s="1"/>
      <c r="L2372" s="1"/>
      <c r="M2372" s="38"/>
      <c r="O2372" s="1"/>
      <c r="P2372" s="1"/>
      <c r="Q2372" s="1"/>
      <c r="T2372" s="2"/>
    </row>
    <row r="2373" spans="1:20" x14ac:dyDescent="0.35">
      <c r="A2373" s="37"/>
      <c r="H2373" s="1"/>
      <c r="I2373" s="1"/>
      <c r="J2373" s="1"/>
      <c r="L2373" s="1"/>
      <c r="M2373" s="38"/>
      <c r="O2373" s="1"/>
      <c r="P2373" s="1"/>
      <c r="Q2373" s="1"/>
      <c r="T2373" s="2"/>
    </row>
    <row r="2374" spans="1:20" x14ac:dyDescent="0.35">
      <c r="A2374" s="37"/>
      <c r="H2374" s="1"/>
      <c r="I2374" s="1"/>
      <c r="J2374" s="1"/>
      <c r="L2374" s="1"/>
      <c r="M2374" s="38"/>
      <c r="O2374" s="1"/>
      <c r="P2374" s="1"/>
      <c r="Q2374" s="1"/>
      <c r="T2374" s="2"/>
    </row>
    <row r="2375" spans="1:20" x14ac:dyDescent="0.35">
      <c r="A2375" s="37"/>
      <c r="H2375" s="1"/>
      <c r="I2375" s="1"/>
      <c r="J2375" s="1"/>
      <c r="L2375" s="1"/>
      <c r="M2375" s="38"/>
      <c r="O2375" s="1"/>
      <c r="P2375" s="1"/>
      <c r="Q2375" s="1"/>
      <c r="T2375" s="2"/>
    </row>
    <row r="2376" spans="1:20" x14ac:dyDescent="0.35">
      <c r="A2376" s="37"/>
      <c r="H2376" s="1"/>
      <c r="I2376" s="1"/>
      <c r="J2376" s="1"/>
      <c r="L2376" s="1"/>
      <c r="O2376" s="1"/>
      <c r="P2376" s="1"/>
      <c r="Q2376" s="1"/>
      <c r="T2376" s="2"/>
    </row>
    <row r="2377" spans="1:20" x14ac:dyDescent="0.35">
      <c r="A2377" s="37"/>
      <c r="H2377" s="1"/>
      <c r="I2377" s="1"/>
      <c r="J2377" s="1"/>
      <c r="L2377" s="1"/>
      <c r="N2377" s="1"/>
      <c r="O2377" s="1"/>
      <c r="P2377" s="1"/>
      <c r="Q2377" s="1"/>
      <c r="T2377" s="1"/>
    </row>
    <row r="2378" spans="1:20" x14ac:dyDescent="0.35">
      <c r="A2378" s="37"/>
      <c r="H2378" s="1"/>
      <c r="I2378" s="1"/>
      <c r="J2378" s="1"/>
      <c r="L2378" s="1"/>
      <c r="N2378" s="1"/>
      <c r="O2378" s="1"/>
      <c r="P2378" s="1"/>
      <c r="Q2378" s="1"/>
      <c r="T2378" s="1"/>
    </row>
    <row r="2379" spans="1:20" x14ac:dyDescent="0.35">
      <c r="A2379" s="37"/>
      <c r="H2379" s="1"/>
      <c r="I2379" s="1"/>
      <c r="J2379" s="1"/>
      <c r="L2379" s="1"/>
      <c r="N2379" s="1"/>
      <c r="O2379" s="1"/>
      <c r="P2379" s="1"/>
      <c r="Q2379" s="1"/>
      <c r="T2379" s="2"/>
    </row>
    <row r="2380" spans="1:20" x14ac:dyDescent="0.35">
      <c r="A2380" s="37"/>
      <c r="H2380" s="1"/>
      <c r="I2380" s="1"/>
      <c r="J2380" s="1"/>
      <c r="L2380" s="1"/>
      <c r="N2380" s="1"/>
      <c r="O2380" s="1"/>
      <c r="P2380" s="1"/>
      <c r="Q2380" s="1"/>
      <c r="T2380" s="2"/>
    </row>
    <row r="2381" spans="1:20" x14ac:dyDescent="0.35">
      <c r="A2381" s="37"/>
      <c r="H2381" s="1"/>
      <c r="I2381" s="1"/>
      <c r="J2381" s="1"/>
      <c r="L2381" s="1"/>
      <c r="N2381" s="1"/>
      <c r="O2381" s="1"/>
      <c r="P2381" s="1"/>
      <c r="Q2381" s="1"/>
      <c r="T2381" s="2"/>
    </row>
    <row r="2382" spans="1:20" x14ac:dyDescent="0.35">
      <c r="A2382" s="37"/>
      <c r="H2382" s="1"/>
      <c r="I2382" s="1"/>
      <c r="J2382" s="1"/>
      <c r="L2382" s="1"/>
      <c r="N2382" s="1"/>
      <c r="O2382" s="1"/>
      <c r="P2382" s="1"/>
      <c r="Q2382" s="1"/>
      <c r="T2382" s="1"/>
    </row>
    <row r="2383" spans="1:20" x14ac:dyDescent="0.35">
      <c r="A2383" s="37"/>
      <c r="H2383" s="1"/>
      <c r="I2383" s="1"/>
      <c r="J2383" s="1"/>
      <c r="L2383" s="1"/>
      <c r="M2383" s="38"/>
      <c r="N2383" s="1"/>
      <c r="O2383" s="1"/>
      <c r="P2383" s="1"/>
      <c r="Q2383" s="1"/>
      <c r="T2383" s="1"/>
    </row>
    <row r="2384" spans="1:20" x14ac:dyDescent="0.35">
      <c r="A2384" s="37"/>
      <c r="H2384" s="1"/>
      <c r="I2384" s="1"/>
      <c r="J2384" s="1"/>
      <c r="L2384" s="1"/>
      <c r="N2384" s="1"/>
      <c r="O2384" s="1"/>
      <c r="P2384" s="1"/>
      <c r="Q2384" s="1"/>
      <c r="T2384" s="1"/>
    </row>
    <row r="2385" spans="1:20" x14ac:dyDescent="0.35">
      <c r="A2385" s="37"/>
      <c r="H2385" s="1"/>
      <c r="I2385" s="1"/>
      <c r="J2385" s="1"/>
      <c r="L2385" s="1"/>
      <c r="N2385" s="1"/>
      <c r="O2385" s="1"/>
      <c r="P2385" s="1"/>
      <c r="Q2385" s="1"/>
      <c r="T2385" s="2"/>
    </row>
    <row r="2386" spans="1:20" x14ac:dyDescent="0.35">
      <c r="A2386" s="37"/>
      <c r="H2386" s="1"/>
      <c r="I2386" s="1"/>
      <c r="J2386" s="1"/>
      <c r="L2386" s="1"/>
      <c r="N2386" s="1"/>
      <c r="O2386" s="1"/>
      <c r="P2386" s="1"/>
      <c r="Q2386" s="1"/>
      <c r="T2386" s="1"/>
    </row>
    <row r="2387" spans="1:20" x14ac:dyDescent="0.35">
      <c r="A2387" s="37"/>
      <c r="H2387" s="1"/>
      <c r="I2387" s="1"/>
      <c r="J2387" s="1"/>
      <c r="L2387" s="1"/>
      <c r="N2387" s="1"/>
      <c r="O2387" s="1"/>
      <c r="P2387" s="1"/>
      <c r="Q2387" s="1"/>
      <c r="T2387" s="1"/>
    </row>
    <row r="2388" spans="1:20" x14ac:dyDescent="0.35">
      <c r="A2388" s="37"/>
      <c r="H2388" s="1"/>
      <c r="I2388" s="1"/>
      <c r="J2388" s="1"/>
      <c r="L2388" s="1"/>
      <c r="N2388" s="1"/>
      <c r="O2388" s="1"/>
      <c r="P2388" s="1"/>
      <c r="Q2388" s="1"/>
      <c r="T2388" s="1"/>
    </row>
    <row r="2389" spans="1:20" x14ac:dyDescent="0.35">
      <c r="A2389" s="37"/>
      <c r="H2389" s="1"/>
      <c r="I2389" s="1"/>
      <c r="J2389" s="1"/>
      <c r="L2389" s="1"/>
      <c r="N2389" s="1"/>
      <c r="O2389" s="1"/>
      <c r="P2389" s="1"/>
      <c r="Q2389" s="1"/>
      <c r="T2389" s="1"/>
    </row>
    <row r="2390" spans="1:20" x14ac:dyDescent="0.35">
      <c r="A2390" s="37"/>
      <c r="H2390" s="1"/>
      <c r="I2390" s="1"/>
      <c r="J2390" s="1"/>
      <c r="L2390" s="1"/>
      <c r="N2390" s="1"/>
      <c r="O2390" s="1"/>
      <c r="P2390" s="1"/>
      <c r="Q2390" s="1"/>
      <c r="T2390" s="1"/>
    </row>
    <row r="2391" spans="1:20" x14ac:dyDescent="0.35">
      <c r="A2391" s="37"/>
      <c r="H2391" s="1"/>
      <c r="I2391" s="1"/>
      <c r="J2391" s="1"/>
      <c r="L2391" s="1"/>
      <c r="N2391" s="1"/>
      <c r="O2391" s="1"/>
      <c r="P2391" s="1"/>
      <c r="Q2391" s="1"/>
      <c r="T2391" s="1"/>
    </row>
    <row r="2392" spans="1:20" x14ac:dyDescent="0.35">
      <c r="A2392" s="37"/>
      <c r="H2392" s="1"/>
      <c r="I2392" s="1"/>
      <c r="J2392" s="1"/>
      <c r="L2392" s="1"/>
      <c r="N2392" s="1"/>
      <c r="O2392" s="1"/>
      <c r="P2392" s="1"/>
      <c r="Q2392" s="1"/>
      <c r="T2392" s="2"/>
    </row>
    <row r="2393" spans="1:20" x14ac:dyDescent="0.35">
      <c r="A2393" s="37"/>
      <c r="H2393" s="1"/>
      <c r="I2393" s="1"/>
      <c r="J2393" s="1"/>
      <c r="L2393" s="1"/>
      <c r="N2393" s="1"/>
      <c r="O2393" s="1"/>
      <c r="P2393" s="1"/>
      <c r="Q2393" s="1"/>
      <c r="T2393" s="1"/>
    </row>
    <row r="2394" spans="1:20" x14ac:dyDescent="0.35">
      <c r="A2394" s="37"/>
      <c r="H2394" s="1"/>
      <c r="I2394" s="1"/>
      <c r="J2394" s="1"/>
      <c r="L2394" s="1"/>
      <c r="N2394" s="1"/>
      <c r="O2394" s="1"/>
      <c r="P2394" s="1"/>
      <c r="Q2394" s="1"/>
      <c r="T2394" s="1"/>
    </row>
    <row r="2395" spans="1:20" x14ac:dyDescent="0.35">
      <c r="A2395" s="37"/>
      <c r="H2395" s="1"/>
      <c r="I2395" s="1"/>
      <c r="J2395" s="1"/>
      <c r="L2395" s="1"/>
      <c r="N2395" s="1"/>
      <c r="O2395" s="1"/>
      <c r="P2395" s="1"/>
      <c r="Q2395" s="1"/>
      <c r="T2395" s="1"/>
    </row>
    <row r="2396" spans="1:20" x14ac:dyDescent="0.35">
      <c r="A2396" s="37"/>
      <c r="H2396" s="1"/>
      <c r="I2396" s="1"/>
      <c r="J2396" s="1"/>
      <c r="L2396" s="1"/>
      <c r="N2396" s="1"/>
      <c r="O2396" s="1"/>
      <c r="P2396" s="1"/>
      <c r="Q2396" s="1"/>
      <c r="T2396" s="1"/>
    </row>
    <row r="2397" spans="1:20" x14ac:dyDescent="0.35">
      <c r="A2397" s="37"/>
      <c r="H2397" s="1"/>
      <c r="I2397" s="1"/>
      <c r="J2397" s="1"/>
      <c r="L2397" s="1"/>
      <c r="N2397" s="1"/>
      <c r="O2397" s="1"/>
      <c r="P2397" s="1"/>
      <c r="Q2397" s="1"/>
      <c r="T2397" s="1"/>
    </row>
    <row r="2398" spans="1:20" x14ac:dyDescent="0.35">
      <c r="A2398" s="37"/>
      <c r="H2398" s="1"/>
      <c r="I2398" s="1"/>
      <c r="J2398" s="1"/>
      <c r="L2398" s="1"/>
      <c r="N2398" s="1"/>
      <c r="O2398" s="1"/>
      <c r="P2398" s="1"/>
      <c r="Q2398" s="1"/>
      <c r="T2398" s="2"/>
    </row>
    <row r="2399" spans="1:20" x14ac:dyDescent="0.35">
      <c r="A2399" s="37"/>
      <c r="H2399" s="1"/>
      <c r="I2399" s="1"/>
      <c r="J2399" s="1"/>
      <c r="L2399" s="1"/>
      <c r="N2399" s="1"/>
      <c r="O2399" s="1"/>
      <c r="P2399" s="1"/>
      <c r="Q2399" s="1"/>
      <c r="T2399" s="2"/>
    </row>
    <row r="2400" spans="1:20" x14ac:dyDescent="0.35">
      <c r="A2400" s="37"/>
      <c r="H2400" s="1"/>
      <c r="I2400" s="1"/>
      <c r="J2400" s="1"/>
      <c r="L2400" s="1"/>
      <c r="N2400" s="1"/>
      <c r="O2400" s="1"/>
      <c r="P2400" s="1"/>
      <c r="Q2400" s="1"/>
      <c r="T2400" s="1"/>
    </row>
    <row r="2401" spans="1:20" x14ac:dyDescent="0.35">
      <c r="A2401" s="37"/>
      <c r="H2401" s="1"/>
      <c r="I2401" s="1"/>
      <c r="J2401" s="1"/>
      <c r="L2401" s="1"/>
      <c r="N2401" s="1"/>
      <c r="O2401" s="1"/>
      <c r="P2401" s="1"/>
      <c r="Q2401" s="1"/>
      <c r="T2401" s="1"/>
    </row>
    <row r="2402" spans="1:20" x14ac:dyDescent="0.35">
      <c r="A2402" s="37"/>
      <c r="H2402" s="1"/>
      <c r="I2402" s="1"/>
      <c r="J2402" s="1"/>
      <c r="L2402" s="1"/>
      <c r="N2402" s="1"/>
      <c r="O2402" s="1"/>
      <c r="P2402" s="1"/>
      <c r="Q2402" s="1"/>
      <c r="T2402" s="1"/>
    </row>
    <row r="2403" spans="1:20" x14ac:dyDescent="0.35">
      <c r="A2403" s="37"/>
      <c r="H2403" s="1"/>
      <c r="I2403" s="1"/>
      <c r="J2403" s="1"/>
      <c r="L2403" s="1"/>
      <c r="N2403" s="1"/>
      <c r="O2403" s="1"/>
      <c r="P2403" s="1"/>
      <c r="Q2403" s="1"/>
      <c r="T2403" s="1"/>
    </row>
    <row r="2404" spans="1:20" x14ac:dyDescent="0.35">
      <c r="A2404" s="37"/>
      <c r="H2404" s="1"/>
      <c r="I2404" s="1"/>
      <c r="J2404" s="1"/>
      <c r="L2404" s="1"/>
      <c r="N2404" s="1"/>
      <c r="O2404" s="1"/>
      <c r="P2404" s="1"/>
      <c r="Q2404" s="1"/>
      <c r="T2404" s="1"/>
    </row>
    <row r="2405" spans="1:20" x14ac:dyDescent="0.35">
      <c r="A2405" s="37"/>
      <c r="H2405" s="1"/>
      <c r="I2405" s="1"/>
      <c r="J2405" s="1"/>
      <c r="L2405" s="1"/>
      <c r="N2405" s="1"/>
      <c r="O2405" s="1"/>
      <c r="P2405" s="1"/>
      <c r="Q2405" s="1"/>
      <c r="T2405" s="2"/>
    </row>
    <row r="2406" spans="1:20" x14ac:dyDescent="0.35">
      <c r="A2406" s="37"/>
      <c r="H2406" s="1"/>
      <c r="I2406" s="1"/>
      <c r="J2406" s="1"/>
      <c r="L2406" s="1"/>
      <c r="M2406" s="38"/>
      <c r="N2406" s="1"/>
      <c r="O2406" s="1"/>
      <c r="P2406" s="1"/>
      <c r="Q2406" s="1"/>
      <c r="T2406" s="1"/>
    </row>
    <row r="2407" spans="1:20" x14ac:dyDescent="0.35">
      <c r="A2407" s="37"/>
      <c r="H2407" s="1"/>
      <c r="I2407" s="1"/>
      <c r="J2407" s="1"/>
      <c r="L2407" s="1"/>
      <c r="O2407" s="1"/>
      <c r="P2407" s="1"/>
      <c r="Q2407" s="1"/>
      <c r="T2407" s="2"/>
    </row>
    <row r="2408" spans="1:20" x14ac:dyDescent="0.35">
      <c r="A2408" s="37"/>
      <c r="H2408" s="1"/>
      <c r="I2408" s="1"/>
      <c r="J2408" s="1"/>
      <c r="L2408" s="1"/>
      <c r="N2408" s="1"/>
      <c r="O2408" s="1"/>
      <c r="P2408" s="1"/>
      <c r="Q2408" s="1"/>
      <c r="T2408" s="2"/>
    </row>
    <row r="2409" spans="1:20" x14ac:dyDescent="0.35">
      <c r="A2409" s="37"/>
      <c r="H2409" s="1"/>
      <c r="I2409" s="1"/>
      <c r="J2409" s="1"/>
      <c r="L2409" s="1"/>
      <c r="O2409" s="1"/>
      <c r="P2409" s="1"/>
      <c r="Q2409" s="1"/>
      <c r="T2409" s="2"/>
    </row>
    <row r="2410" spans="1:20" x14ac:dyDescent="0.35">
      <c r="A2410" s="37"/>
      <c r="H2410" s="1"/>
      <c r="I2410" s="1"/>
      <c r="J2410" s="1"/>
      <c r="L2410" s="1"/>
      <c r="O2410" s="1"/>
      <c r="P2410" s="1"/>
      <c r="Q2410" s="1"/>
      <c r="T2410" s="2"/>
    </row>
    <row r="2411" spans="1:20" x14ac:dyDescent="0.35">
      <c r="A2411" s="37"/>
      <c r="H2411" s="1"/>
      <c r="I2411" s="1"/>
      <c r="J2411" s="1"/>
      <c r="L2411" s="1"/>
      <c r="N2411" s="1"/>
      <c r="O2411" s="1"/>
      <c r="P2411" s="1"/>
      <c r="Q2411" s="1"/>
      <c r="T2411" s="2"/>
    </row>
    <row r="2412" spans="1:20" x14ac:dyDescent="0.35">
      <c r="A2412" s="37"/>
      <c r="H2412" s="1"/>
      <c r="I2412" s="1"/>
      <c r="J2412" s="1"/>
      <c r="L2412" s="1"/>
      <c r="N2412" s="1"/>
      <c r="O2412" s="1"/>
      <c r="P2412" s="1"/>
      <c r="Q2412" s="1"/>
      <c r="T2412" s="1"/>
    </row>
    <row r="2413" spans="1:20" x14ac:dyDescent="0.35">
      <c r="A2413" s="37"/>
      <c r="H2413" s="1"/>
      <c r="I2413" s="1"/>
      <c r="J2413" s="1"/>
      <c r="L2413" s="1"/>
      <c r="N2413" s="1"/>
      <c r="O2413" s="1"/>
      <c r="P2413" s="1"/>
      <c r="Q2413" s="1"/>
      <c r="T2413" s="1"/>
    </row>
    <row r="2414" spans="1:20" x14ac:dyDescent="0.35">
      <c r="A2414" s="37"/>
      <c r="H2414" s="1"/>
      <c r="I2414" s="1"/>
      <c r="J2414" s="1"/>
      <c r="L2414" s="1"/>
      <c r="N2414" s="1"/>
      <c r="O2414" s="1"/>
      <c r="P2414" s="1"/>
      <c r="Q2414" s="1"/>
      <c r="T2414" s="2"/>
    </row>
    <row r="2415" spans="1:20" x14ac:dyDescent="0.35">
      <c r="A2415" s="37"/>
      <c r="H2415" s="1"/>
      <c r="I2415" s="1"/>
      <c r="J2415" s="1"/>
      <c r="L2415" s="1"/>
      <c r="N2415" s="1"/>
      <c r="O2415" s="1"/>
      <c r="P2415" s="1"/>
      <c r="Q2415" s="1"/>
      <c r="T2415" s="2"/>
    </row>
    <row r="2416" spans="1:20" x14ac:dyDescent="0.35">
      <c r="A2416" s="37"/>
      <c r="H2416" s="1"/>
      <c r="I2416" s="1"/>
      <c r="J2416" s="1"/>
      <c r="L2416" s="1"/>
      <c r="O2416" s="1"/>
      <c r="P2416" s="1"/>
      <c r="Q2416" s="1"/>
      <c r="T2416" s="2"/>
    </row>
    <row r="2417" spans="1:20" x14ac:dyDescent="0.35">
      <c r="A2417" s="37"/>
      <c r="H2417" s="1"/>
      <c r="I2417" s="1"/>
      <c r="J2417" s="1"/>
      <c r="L2417" s="1"/>
      <c r="N2417" s="1"/>
      <c r="O2417" s="1"/>
      <c r="P2417" s="1"/>
      <c r="Q2417" s="1"/>
      <c r="T2417" s="2"/>
    </row>
    <row r="2418" spans="1:20" x14ac:dyDescent="0.35">
      <c r="A2418" s="37"/>
      <c r="H2418" s="1"/>
      <c r="I2418" s="1"/>
      <c r="J2418" s="1"/>
      <c r="L2418" s="1"/>
      <c r="N2418" s="1"/>
      <c r="O2418" s="1"/>
      <c r="P2418" s="1"/>
      <c r="Q2418" s="1"/>
      <c r="T2418" s="1"/>
    </row>
    <row r="2419" spans="1:20" x14ac:dyDescent="0.35">
      <c r="A2419" s="37"/>
      <c r="H2419" s="1"/>
      <c r="I2419" s="1"/>
      <c r="J2419" s="1"/>
      <c r="L2419" s="1"/>
      <c r="N2419" s="1"/>
      <c r="O2419" s="1"/>
      <c r="P2419" s="1"/>
      <c r="Q2419" s="1"/>
      <c r="T2419" s="2"/>
    </row>
    <row r="2420" spans="1:20" x14ac:dyDescent="0.35">
      <c r="A2420" s="37"/>
      <c r="H2420" s="1"/>
      <c r="I2420" s="1"/>
      <c r="J2420" s="1"/>
      <c r="L2420" s="1"/>
      <c r="N2420" s="1"/>
      <c r="O2420" s="1"/>
      <c r="P2420" s="1"/>
      <c r="Q2420" s="1"/>
      <c r="T2420" s="1"/>
    </row>
    <row r="2421" spans="1:20" x14ac:dyDescent="0.35">
      <c r="A2421" s="37"/>
      <c r="H2421" s="1"/>
      <c r="I2421" s="1"/>
      <c r="J2421" s="1"/>
      <c r="L2421" s="1"/>
      <c r="M2421" s="39"/>
      <c r="N2421" s="1"/>
      <c r="O2421" s="1"/>
      <c r="P2421" s="1"/>
      <c r="Q2421" s="1"/>
      <c r="T2421" s="2"/>
    </row>
    <row r="2422" spans="1:20" x14ac:dyDescent="0.35">
      <c r="A2422" s="37"/>
      <c r="H2422" s="1"/>
      <c r="I2422" s="1"/>
      <c r="J2422" s="1"/>
      <c r="L2422" s="1"/>
      <c r="O2422" s="1"/>
      <c r="P2422" s="1"/>
      <c r="Q2422" s="1"/>
      <c r="T2422" s="2"/>
    </row>
    <row r="2423" spans="1:20" x14ac:dyDescent="0.35">
      <c r="A2423" s="37"/>
      <c r="H2423" s="1"/>
      <c r="I2423" s="1"/>
      <c r="J2423" s="1"/>
      <c r="L2423" s="1"/>
      <c r="N2423" s="1"/>
      <c r="O2423" s="1"/>
      <c r="P2423" s="1"/>
      <c r="Q2423" s="1"/>
      <c r="T2423" s="2"/>
    </row>
    <row r="2424" spans="1:20" x14ac:dyDescent="0.35">
      <c r="A2424" s="37"/>
      <c r="H2424" s="1"/>
      <c r="I2424" s="1"/>
      <c r="J2424" s="1"/>
      <c r="L2424" s="1"/>
      <c r="N2424" s="1"/>
      <c r="O2424" s="1"/>
      <c r="P2424" s="1"/>
      <c r="Q2424" s="1"/>
      <c r="T2424" s="1"/>
    </row>
    <row r="2425" spans="1:20" x14ac:dyDescent="0.35">
      <c r="A2425" s="37"/>
      <c r="H2425" s="1"/>
      <c r="I2425" s="1"/>
      <c r="J2425" s="1"/>
      <c r="L2425" s="1"/>
      <c r="N2425" s="1"/>
      <c r="O2425" s="1"/>
      <c r="P2425" s="1"/>
      <c r="Q2425" s="1"/>
      <c r="T2425" s="1"/>
    </row>
    <row r="2426" spans="1:20" x14ac:dyDescent="0.35">
      <c r="A2426" s="37"/>
      <c r="H2426" s="1"/>
      <c r="I2426" s="1"/>
      <c r="J2426" s="1"/>
      <c r="L2426" s="1"/>
      <c r="N2426" s="1"/>
      <c r="O2426" s="1"/>
      <c r="P2426" s="1"/>
      <c r="Q2426" s="1"/>
      <c r="T2426" s="1"/>
    </row>
    <row r="2427" spans="1:20" x14ac:dyDescent="0.35">
      <c r="A2427" s="37"/>
      <c r="H2427" s="1"/>
      <c r="I2427" s="1"/>
      <c r="J2427" s="1"/>
      <c r="L2427" s="1"/>
      <c r="N2427" s="1"/>
      <c r="O2427" s="1"/>
      <c r="P2427" s="1"/>
      <c r="Q2427" s="1"/>
      <c r="T2427" s="2"/>
    </row>
    <row r="2428" spans="1:20" x14ac:dyDescent="0.35">
      <c r="A2428" s="37"/>
      <c r="H2428" s="1"/>
      <c r="I2428" s="1"/>
      <c r="J2428" s="1"/>
      <c r="L2428" s="1"/>
      <c r="N2428" s="1"/>
      <c r="O2428" s="1"/>
      <c r="P2428" s="1"/>
      <c r="Q2428" s="1"/>
      <c r="T2428" s="2"/>
    </row>
    <row r="2429" spans="1:20" x14ac:dyDescent="0.35">
      <c r="A2429" s="37"/>
      <c r="H2429" s="1"/>
      <c r="I2429" s="1"/>
      <c r="J2429" s="1"/>
      <c r="L2429" s="1"/>
      <c r="N2429" s="1"/>
      <c r="O2429" s="1"/>
      <c r="P2429" s="1"/>
      <c r="Q2429" s="1"/>
      <c r="T2429" s="1"/>
    </row>
    <row r="2430" spans="1:20" x14ac:dyDescent="0.35">
      <c r="A2430" s="37"/>
      <c r="H2430" s="1"/>
      <c r="I2430" s="1"/>
      <c r="J2430" s="1"/>
      <c r="L2430" s="1"/>
      <c r="N2430" s="1"/>
      <c r="O2430" s="1"/>
      <c r="P2430" s="1"/>
      <c r="Q2430" s="1"/>
      <c r="T2430" s="2"/>
    </row>
    <row r="2431" spans="1:20" x14ac:dyDescent="0.35">
      <c r="A2431" s="37"/>
      <c r="H2431" s="1"/>
      <c r="I2431" s="1"/>
      <c r="J2431" s="1"/>
      <c r="L2431" s="1"/>
      <c r="N2431" s="1"/>
      <c r="O2431" s="1"/>
      <c r="P2431" s="1"/>
      <c r="Q2431" s="1"/>
      <c r="T2431" s="2"/>
    </row>
    <row r="2432" spans="1:20" x14ac:dyDescent="0.35">
      <c r="A2432" s="37"/>
      <c r="H2432" s="1"/>
      <c r="I2432" s="1"/>
      <c r="J2432" s="1"/>
      <c r="L2432" s="1"/>
      <c r="N2432" s="1"/>
      <c r="O2432" s="1"/>
      <c r="P2432" s="1"/>
      <c r="Q2432" s="1"/>
      <c r="T2432" s="2"/>
    </row>
    <row r="2433" spans="1:20" x14ac:dyDescent="0.35">
      <c r="A2433" s="37"/>
      <c r="H2433" s="1"/>
      <c r="I2433" s="1"/>
      <c r="J2433" s="1"/>
      <c r="L2433" s="1"/>
      <c r="N2433" s="1"/>
      <c r="O2433" s="1"/>
      <c r="P2433" s="1"/>
      <c r="Q2433" s="1"/>
      <c r="T2433" s="2"/>
    </row>
    <row r="2434" spans="1:20" x14ac:dyDescent="0.35">
      <c r="A2434" s="37"/>
      <c r="H2434" s="1"/>
      <c r="I2434" s="1"/>
      <c r="J2434" s="1"/>
      <c r="L2434" s="1"/>
      <c r="N2434" s="1"/>
      <c r="O2434" s="1"/>
      <c r="P2434" s="1"/>
      <c r="Q2434" s="1"/>
      <c r="T2434" s="1"/>
    </row>
    <row r="2435" spans="1:20" x14ac:dyDescent="0.35">
      <c r="A2435" s="37"/>
      <c r="H2435" s="1"/>
      <c r="I2435" s="1"/>
      <c r="J2435" s="1"/>
      <c r="L2435" s="1"/>
      <c r="O2435" s="1"/>
      <c r="P2435" s="1"/>
      <c r="Q2435" s="1"/>
      <c r="T2435" s="2"/>
    </row>
    <row r="2436" spans="1:20" x14ac:dyDescent="0.35">
      <c r="A2436" s="37"/>
      <c r="H2436" s="1"/>
      <c r="I2436" s="1"/>
      <c r="J2436" s="1"/>
      <c r="L2436" s="1"/>
      <c r="O2436" s="1"/>
      <c r="P2436" s="1"/>
      <c r="Q2436" s="1"/>
      <c r="T2436" s="2"/>
    </row>
    <row r="2437" spans="1:20" x14ac:dyDescent="0.35">
      <c r="A2437" s="37"/>
      <c r="H2437" s="1"/>
      <c r="I2437" s="1"/>
      <c r="J2437" s="1"/>
      <c r="L2437" s="1"/>
      <c r="O2437" s="1"/>
      <c r="P2437" s="1"/>
      <c r="Q2437" s="1"/>
      <c r="T2437" s="2"/>
    </row>
    <row r="2438" spans="1:20" x14ac:dyDescent="0.35">
      <c r="A2438" s="37"/>
      <c r="H2438" s="1"/>
      <c r="I2438" s="1"/>
      <c r="J2438" s="1"/>
      <c r="L2438" s="1"/>
      <c r="O2438" s="1"/>
      <c r="P2438" s="1"/>
      <c r="Q2438" s="1"/>
      <c r="T2438" s="2"/>
    </row>
    <row r="2439" spans="1:20" x14ac:dyDescent="0.35">
      <c r="A2439" s="37"/>
      <c r="H2439" s="1"/>
      <c r="I2439" s="1"/>
      <c r="J2439" s="1"/>
      <c r="L2439" s="1"/>
      <c r="N2439" s="1"/>
      <c r="O2439" s="1"/>
      <c r="P2439" s="1"/>
      <c r="Q2439" s="1"/>
      <c r="T2439" s="1"/>
    </row>
    <row r="2440" spans="1:20" x14ac:dyDescent="0.35">
      <c r="A2440" s="37"/>
      <c r="H2440" s="1"/>
      <c r="I2440" s="1"/>
      <c r="J2440" s="1"/>
      <c r="L2440" s="1"/>
      <c r="N2440" s="1"/>
      <c r="O2440" s="1"/>
      <c r="P2440" s="1"/>
      <c r="Q2440" s="1"/>
      <c r="T2440" s="1"/>
    </row>
    <row r="2441" spans="1:20" x14ac:dyDescent="0.35">
      <c r="A2441" s="37"/>
      <c r="H2441" s="1"/>
      <c r="I2441" s="1"/>
      <c r="J2441" s="1"/>
      <c r="L2441" s="1"/>
      <c r="N2441" s="1"/>
      <c r="O2441" s="1"/>
      <c r="P2441" s="1"/>
      <c r="Q2441" s="1"/>
      <c r="T2441" s="2"/>
    </row>
    <row r="2442" spans="1:20" x14ac:dyDescent="0.35">
      <c r="A2442" s="37"/>
      <c r="H2442" s="1"/>
      <c r="I2442" s="1"/>
      <c r="J2442" s="1"/>
      <c r="L2442" s="1"/>
      <c r="N2442" s="1"/>
      <c r="O2442" s="1"/>
      <c r="P2442" s="1"/>
      <c r="Q2442" s="1"/>
      <c r="T2442" s="2"/>
    </row>
    <row r="2443" spans="1:20" x14ac:dyDescent="0.35">
      <c r="A2443" s="37"/>
      <c r="H2443" s="1"/>
      <c r="I2443" s="1"/>
      <c r="J2443" s="1"/>
      <c r="L2443" s="1"/>
      <c r="O2443" s="1"/>
      <c r="P2443" s="1"/>
      <c r="Q2443" s="1"/>
      <c r="T2443" s="2"/>
    </row>
    <row r="2444" spans="1:20" x14ac:dyDescent="0.35">
      <c r="A2444" s="37"/>
      <c r="H2444" s="1"/>
      <c r="I2444" s="1"/>
      <c r="J2444" s="1"/>
      <c r="L2444" s="1"/>
      <c r="N2444" s="1"/>
      <c r="O2444" s="1"/>
      <c r="P2444" s="1"/>
      <c r="Q2444" s="1"/>
      <c r="T2444" s="2"/>
    </row>
    <row r="2445" spans="1:20" x14ac:dyDescent="0.35">
      <c r="A2445" s="37"/>
      <c r="H2445" s="1"/>
      <c r="I2445" s="1"/>
      <c r="J2445" s="1"/>
      <c r="L2445" s="1"/>
      <c r="N2445" s="1"/>
      <c r="O2445" s="1"/>
      <c r="P2445" s="1"/>
      <c r="Q2445" s="1"/>
      <c r="T2445" s="1"/>
    </row>
    <row r="2446" spans="1:20" x14ac:dyDescent="0.35">
      <c r="A2446" s="37"/>
      <c r="H2446" s="1"/>
      <c r="I2446" s="1"/>
      <c r="J2446" s="1"/>
      <c r="L2446" s="1"/>
      <c r="N2446" s="1"/>
      <c r="O2446" s="1"/>
      <c r="P2446" s="1"/>
      <c r="Q2446" s="1"/>
      <c r="T2446" s="1"/>
    </row>
    <row r="2447" spans="1:20" x14ac:dyDescent="0.35">
      <c r="A2447" s="37"/>
      <c r="H2447" s="1"/>
      <c r="I2447" s="1"/>
      <c r="J2447" s="1"/>
      <c r="L2447" s="1"/>
      <c r="M2447" s="39"/>
      <c r="N2447" s="1"/>
      <c r="O2447" s="1"/>
      <c r="P2447" s="1"/>
      <c r="Q2447" s="1"/>
      <c r="T2447" s="2"/>
    </row>
    <row r="2448" spans="1:20" x14ac:dyDescent="0.35">
      <c r="A2448" s="37"/>
      <c r="H2448" s="1"/>
      <c r="I2448" s="1"/>
      <c r="J2448" s="1"/>
      <c r="L2448" s="1"/>
      <c r="M2448" s="39"/>
      <c r="N2448" s="1"/>
      <c r="O2448" s="1"/>
      <c r="P2448" s="1"/>
      <c r="Q2448" s="1"/>
      <c r="T2448" s="2"/>
    </row>
    <row r="2449" spans="1:20" x14ac:dyDescent="0.35">
      <c r="A2449" s="37"/>
      <c r="H2449" s="1"/>
      <c r="I2449" s="1"/>
      <c r="J2449" s="1"/>
      <c r="L2449" s="1"/>
      <c r="O2449" s="1"/>
      <c r="P2449" s="1"/>
      <c r="Q2449" s="1"/>
      <c r="T2449" s="2"/>
    </row>
    <row r="2450" spans="1:20" x14ac:dyDescent="0.35">
      <c r="A2450" s="37"/>
      <c r="H2450" s="1"/>
      <c r="I2450" s="1"/>
      <c r="J2450" s="1"/>
      <c r="L2450" s="1"/>
      <c r="O2450" s="1"/>
      <c r="P2450" s="1"/>
      <c r="Q2450" s="1"/>
      <c r="T2450" s="2"/>
    </row>
    <row r="2451" spans="1:20" x14ac:dyDescent="0.35">
      <c r="A2451" s="37"/>
      <c r="H2451" s="1"/>
      <c r="I2451" s="1"/>
      <c r="J2451" s="1"/>
      <c r="L2451" s="1"/>
      <c r="O2451" s="1"/>
      <c r="P2451" s="1"/>
      <c r="Q2451" s="1"/>
      <c r="T2451" s="2"/>
    </row>
    <row r="2452" spans="1:20" x14ac:dyDescent="0.35">
      <c r="A2452" s="37"/>
      <c r="H2452" s="1"/>
      <c r="I2452" s="1"/>
      <c r="J2452" s="1"/>
      <c r="L2452" s="1"/>
      <c r="O2452" s="1"/>
      <c r="P2452" s="1"/>
      <c r="Q2452" s="1"/>
      <c r="T2452" s="2"/>
    </row>
    <row r="2453" spans="1:20" x14ac:dyDescent="0.35">
      <c r="A2453" s="37"/>
      <c r="H2453" s="1"/>
      <c r="I2453" s="1"/>
      <c r="J2453" s="1"/>
      <c r="L2453" s="1"/>
      <c r="O2453" s="1"/>
      <c r="P2453" s="1"/>
      <c r="Q2453" s="1"/>
      <c r="T2453" s="2"/>
    </row>
    <row r="2454" spans="1:20" x14ac:dyDescent="0.35">
      <c r="A2454" s="37"/>
      <c r="H2454" s="1"/>
      <c r="I2454" s="1"/>
      <c r="J2454" s="1"/>
      <c r="L2454" s="1"/>
      <c r="O2454" s="1"/>
      <c r="P2454" s="1"/>
      <c r="Q2454" s="1"/>
      <c r="T2454" s="2"/>
    </row>
    <row r="2455" spans="1:20" x14ac:dyDescent="0.35">
      <c r="A2455" s="37"/>
      <c r="H2455" s="1"/>
      <c r="I2455" s="1"/>
      <c r="J2455" s="1"/>
      <c r="L2455" s="1"/>
      <c r="O2455" s="1"/>
      <c r="P2455" s="1"/>
      <c r="Q2455" s="1"/>
      <c r="T2455" s="2"/>
    </row>
    <row r="2456" spans="1:20" x14ac:dyDescent="0.35">
      <c r="A2456" s="37"/>
      <c r="H2456" s="1"/>
      <c r="I2456" s="1"/>
      <c r="J2456" s="1"/>
      <c r="L2456" s="1"/>
      <c r="N2456" s="1"/>
      <c r="O2456" s="1"/>
      <c r="P2456" s="1"/>
      <c r="Q2456" s="1"/>
      <c r="T2456" s="1"/>
    </row>
    <row r="2457" spans="1:20" x14ac:dyDescent="0.35">
      <c r="A2457" s="37"/>
      <c r="H2457" s="1"/>
      <c r="I2457" s="1"/>
      <c r="J2457" s="1"/>
      <c r="L2457" s="1"/>
      <c r="N2457" s="1"/>
      <c r="O2457" s="1"/>
      <c r="P2457" s="1"/>
      <c r="Q2457" s="1"/>
      <c r="T2457" s="1"/>
    </row>
    <row r="2458" spans="1:20" x14ac:dyDescent="0.35">
      <c r="A2458" s="37"/>
      <c r="H2458" s="1"/>
      <c r="I2458" s="1"/>
      <c r="J2458" s="1"/>
      <c r="L2458" s="1"/>
      <c r="N2458" s="1"/>
      <c r="O2458" s="1"/>
      <c r="P2458" s="1"/>
      <c r="Q2458" s="1"/>
      <c r="T2458" s="1"/>
    </row>
    <row r="2459" spans="1:20" x14ac:dyDescent="0.35">
      <c r="A2459" s="37"/>
      <c r="H2459" s="1"/>
      <c r="I2459" s="1"/>
      <c r="J2459" s="1"/>
      <c r="L2459" s="1"/>
      <c r="N2459" s="1"/>
      <c r="O2459" s="1"/>
      <c r="P2459" s="1"/>
      <c r="Q2459" s="1"/>
      <c r="T2459" s="1"/>
    </row>
    <row r="2460" spans="1:20" x14ac:dyDescent="0.35">
      <c r="A2460" s="37"/>
      <c r="H2460" s="1"/>
      <c r="I2460" s="1"/>
      <c r="J2460" s="1"/>
      <c r="L2460" s="1"/>
      <c r="N2460" s="1"/>
      <c r="O2460" s="1"/>
      <c r="P2460" s="1"/>
      <c r="Q2460" s="1"/>
      <c r="T2460" s="1"/>
    </row>
    <row r="2461" spans="1:20" x14ac:dyDescent="0.35">
      <c r="A2461" s="37"/>
      <c r="H2461" s="1"/>
      <c r="I2461" s="1"/>
      <c r="J2461" s="1"/>
      <c r="L2461" s="1"/>
      <c r="N2461" s="1"/>
      <c r="O2461" s="1"/>
      <c r="P2461" s="1"/>
      <c r="Q2461" s="1"/>
      <c r="T2461" s="1"/>
    </row>
    <row r="2462" spans="1:20" x14ac:dyDescent="0.35">
      <c r="A2462" s="37"/>
      <c r="H2462" s="1"/>
      <c r="I2462" s="1"/>
      <c r="J2462" s="1"/>
      <c r="L2462" s="1"/>
      <c r="N2462" s="1"/>
      <c r="O2462" s="1"/>
      <c r="P2462" s="1"/>
      <c r="Q2462" s="1"/>
      <c r="T2462" s="1"/>
    </row>
    <row r="2463" spans="1:20" x14ac:dyDescent="0.35">
      <c r="A2463" s="37"/>
      <c r="H2463" s="1"/>
      <c r="I2463" s="1"/>
      <c r="J2463" s="1"/>
      <c r="L2463" s="1"/>
      <c r="N2463" s="1"/>
      <c r="O2463" s="1"/>
      <c r="P2463" s="1"/>
      <c r="Q2463" s="1"/>
      <c r="T2463" s="2"/>
    </row>
    <row r="2464" spans="1:20" x14ac:dyDescent="0.35">
      <c r="A2464" s="37"/>
      <c r="H2464" s="1"/>
      <c r="I2464" s="1"/>
      <c r="J2464" s="1"/>
      <c r="L2464" s="1"/>
      <c r="N2464" s="1"/>
      <c r="O2464" s="1"/>
      <c r="P2464" s="1"/>
      <c r="Q2464" s="1"/>
      <c r="T2464" s="2"/>
    </row>
    <row r="2465" spans="1:20" x14ac:dyDescent="0.35">
      <c r="A2465" s="37"/>
      <c r="H2465" s="1"/>
      <c r="I2465" s="1"/>
      <c r="J2465" s="1"/>
      <c r="L2465" s="1"/>
      <c r="N2465" s="1"/>
      <c r="O2465" s="1"/>
      <c r="P2465" s="1"/>
      <c r="Q2465" s="1"/>
      <c r="T2465" s="1"/>
    </row>
    <row r="2466" spans="1:20" x14ac:dyDescent="0.35">
      <c r="A2466" s="37"/>
      <c r="H2466" s="1"/>
      <c r="I2466" s="1"/>
      <c r="J2466" s="1"/>
      <c r="L2466" s="1"/>
      <c r="O2466" s="1"/>
      <c r="P2466" s="1"/>
      <c r="Q2466" s="1"/>
      <c r="T2466" s="2"/>
    </row>
    <row r="2467" spans="1:20" x14ac:dyDescent="0.35">
      <c r="A2467" s="37"/>
      <c r="H2467" s="1"/>
      <c r="I2467" s="1"/>
      <c r="J2467" s="1"/>
      <c r="L2467" s="1"/>
      <c r="N2467" s="1"/>
      <c r="O2467" s="1"/>
      <c r="P2467" s="1"/>
      <c r="Q2467" s="1"/>
      <c r="T2467" s="1"/>
    </row>
    <row r="2468" spans="1:20" x14ac:dyDescent="0.35">
      <c r="A2468" s="37"/>
      <c r="H2468" s="1"/>
      <c r="I2468" s="1"/>
      <c r="J2468" s="1"/>
      <c r="L2468" s="1"/>
      <c r="N2468" s="1"/>
      <c r="O2468" s="1"/>
      <c r="P2468" s="1"/>
      <c r="Q2468" s="1"/>
      <c r="T2468" s="1"/>
    </row>
    <row r="2469" spans="1:20" x14ac:dyDescent="0.35">
      <c r="A2469" s="37"/>
      <c r="H2469" s="1"/>
      <c r="I2469" s="1"/>
      <c r="J2469" s="1"/>
      <c r="L2469" s="1"/>
      <c r="N2469" s="1"/>
      <c r="O2469" s="1"/>
      <c r="P2469" s="1"/>
      <c r="Q2469" s="1"/>
      <c r="T2469" s="1"/>
    </row>
    <row r="2470" spans="1:20" x14ac:dyDescent="0.35">
      <c r="A2470" s="37"/>
      <c r="H2470" s="1"/>
      <c r="I2470" s="1"/>
      <c r="J2470" s="1"/>
      <c r="L2470" s="1"/>
      <c r="N2470" s="1"/>
      <c r="O2470" s="1"/>
      <c r="P2470" s="1"/>
      <c r="Q2470" s="1"/>
      <c r="T2470" s="1"/>
    </row>
    <row r="2471" spans="1:20" x14ac:dyDescent="0.35">
      <c r="A2471" s="37"/>
      <c r="H2471" s="1"/>
      <c r="I2471" s="1"/>
      <c r="J2471" s="1"/>
      <c r="L2471" s="1"/>
      <c r="N2471" s="1"/>
      <c r="O2471" s="1"/>
      <c r="P2471" s="1"/>
      <c r="Q2471" s="1"/>
      <c r="T2471" s="2"/>
    </row>
    <row r="2472" spans="1:20" x14ac:dyDescent="0.35">
      <c r="A2472" s="37"/>
      <c r="H2472" s="1"/>
      <c r="I2472" s="1"/>
      <c r="J2472" s="1"/>
      <c r="L2472" s="1"/>
      <c r="N2472" s="1"/>
      <c r="O2472" s="1"/>
      <c r="P2472" s="1"/>
      <c r="Q2472" s="1"/>
      <c r="T2472" s="2"/>
    </row>
    <row r="2473" spans="1:20" x14ac:dyDescent="0.35">
      <c r="A2473" s="37"/>
      <c r="H2473" s="1"/>
      <c r="I2473" s="1"/>
      <c r="J2473" s="1"/>
      <c r="L2473" s="1"/>
      <c r="N2473" s="1"/>
      <c r="O2473" s="1"/>
      <c r="P2473" s="1"/>
      <c r="Q2473" s="1"/>
      <c r="T2473" s="2"/>
    </row>
    <row r="2474" spans="1:20" x14ac:dyDescent="0.35">
      <c r="A2474" s="37"/>
      <c r="H2474" s="1"/>
      <c r="I2474" s="1"/>
      <c r="J2474" s="1"/>
      <c r="L2474" s="1"/>
      <c r="N2474" s="1"/>
      <c r="O2474" s="1"/>
      <c r="P2474" s="1"/>
      <c r="Q2474" s="1"/>
      <c r="T2474" s="2"/>
    </row>
    <row r="2475" spans="1:20" x14ac:dyDescent="0.35">
      <c r="A2475" s="37"/>
      <c r="H2475" s="1"/>
      <c r="I2475" s="1"/>
      <c r="J2475" s="1"/>
      <c r="L2475" s="1"/>
      <c r="O2475" s="1"/>
      <c r="P2475" s="1"/>
      <c r="Q2475" s="1"/>
      <c r="T2475" s="2"/>
    </row>
    <row r="2476" spans="1:20" x14ac:dyDescent="0.35">
      <c r="A2476" s="37"/>
      <c r="H2476" s="1"/>
      <c r="I2476" s="1"/>
      <c r="J2476" s="1"/>
      <c r="L2476" s="1"/>
      <c r="O2476" s="1"/>
      <c r="P2476" s="1"/>
      <c r="Q2476" s="1"/>
      <c r="T2476" s="2"/>
    </row>
    <row r="2477" spans="1:20" x14ac:dyDescent="0.35">
      <c r="A2477" s="37"/>
      <c r="H2477" s="1"/>
      <c r="I2477" s="1"/>
      <c r="J2477" s="1"/>
      <c r="L2477" s="1"/>
      <c r="O2477" s="1"/>
      <c r="P2477" s="1"/>
      <c r="Q2477" s="1"/>
      <c r="T2477" s="2"/>
    </row>
    <row r="2478" spans="1:20" x14ac:dyDescent="0.35">
      <c r="A2478" s="37"/>
      <c r="H2478" s="1"/>
      <c r="I2478" s="1"/>
      <c r="J2478" s="1"/>
      <c r="L2478" s="1"/>
      <c r="O2478" s="1"/>
      <c r="P2478" s="1"/>
      <c r="Q2478" s="1"/>
      <c r="T2478" s="2"/>
    </row>
    <row r="2479" spans="1:20" x14ac:dyDescent="0.35">
      <c r="A2479" s="37"/>
      <c r="H2479" s="1"/>
      <c r="I2479" s="1"/>
      <c r="J2479" s="1"/>
      <c r="L2479" s="1"/>
      <c r="O2479" s="1"/>
      <c r="P2479" s="1"/>
      <c r="Q2479" s="1"/>
      <c r="T2479" s="1"/>
    </row>
    <row r="2480" spans="1:20" x14ac:dyDescent="0.35">
      <c r="A2480" s="37"/>
      <c r="H2480" s="1"/>
      <c r="I2480" s="1"/>
      <c r="J2480" s="1"/>
      <c r="L2480" s="1"/>
      <c r="O2480" s="1"/>
      <c r="P2480" s="1"/>
      <c r="Q2480" s="1"/>
      <c r="T2480" s="1"/>
    </row>
    <row r="2481" spans="1:20" x14ac:dyDescent="0.35">
      <c r="A2481" s="37"/>
      <c r="H2481" s="1"/>
      <c r="I2481" s="1"/>
      <c r="J2481" s="1"/>
      <c r="L2481" s="1"/>
      <c r="O2481" s="1"/>
      <c r="P2481" s="1"/>
      <c r="Q2481" s="1"/>
      <c r="T2481" s="2"/>
    </row>
    <row r="2482" spans="1:20" x14ac:dyDescent="0.35">
      <c r="A2482" s="37"/>
      <c r="H2482" s="1"/>
      <c r="I2482" s="1"/>
      <c r="J2482" s="1"/>
      <c r="L2482" s="1"/>
      <c r="O2482" s="1"/>
      <c r="P2482" s="1"/>
      <c r="Q2482" s="1"/>
      <c r="T2482" s="2"/>
    </row>
    <row r="2483" spans="1:20" x14ac:dyDescent="0.35">
      <c r="A2483" s="37"/>
      <c r="H2483" s="1"/>
      <c r="I2483" s="1"/>
      <c r="J2483" s="1"/>
      <c r="L2483" s="1"/>
      <c r="O2483" s="1"/>
      <c r="P2483" s="1"/>
      <c r="Q2483" s="1"/>
      <c r="T2483" s="1"/>
    </row>
    <row r="2484" spans="1:20" x14ac:dyDescent="0.35">
      <c r="A2484" s="37"/>
      <c r="H2484" s="1"/>
      <c r="I2484" s="1"/>
      <c r="J2484" s="1"/>
      <c r="L2484" s="1"/>
      <c r="M2484" s="39"/>
      <c r="N2484" s="1"/>
      <c r="O2484" s="1"/>
      <c r="P2484" s="1"/>
      <c r="Q2484" s="1"/>
      <c r="T2484" s="2"/>
    </row>
    <row r="2485" spans="1:20" x14ac:dyDescent="0.35">
      <c r="A2485" s="37"/>
      <c r="H2485" s="1"/>
      <c r="I2485" s="1"/>
      <c r="J2485" s="1"/>
      <c r="L2485" s="1"/>
      <c r="M2485" s="39"/>
      <c r="N2485" s="1"/>
      <c r="O2485" s="1"/>
      <c r="P2485" s="1"/>
      <c r="Q2485" s="1"/>
      <c r="T2485" s="2"/>
    </row>
    <row r="2486" spans="1:20" x14ac:dyDescent="0.35">
      <c r="A2486" s="37"/>
      <c r="H2486" s="1"/>
      <c r="I2486" s="1"/>
      <c r="J2486" s="1"/>
      <c r="L2486" s="1"/>
      <c r="N2486" s="1"/>
      <c r="O2486" s="1"/>
      <c r="P2486" s="1"/>
      <c r="Q2486" s="1"/>
      <c r="T2486" s="2"/>
    </row>
    <row r="2487" spans="1:20" x14ac:dyDescent="0.35">
      <c r="A2487" s="37"/>
      <c r="H2487" s="1"/>
      <c r="I2487" s="1"/>
      <c r="J2487" s="1"/>
      <c r="L2487" s="1"/>
      <c r="N2487" s="1"/>
      <c r="O2487" s="1"/>
      <c r="P2487" s="1"/>
      <c r="Q2487" s="1"/>
      <c r="T2487" s="1"/>
    </row>
    <row r="2488" spans="1:20" x14ac:dyDescent="0.35">
      <c r="A2488" s="37"/>
      <c r="H2488" s="1"/>
      <c r="I2488" s="1"/>
      <c r="J2488" s="1"/>
      <c r="L2488" s="1"/>
      <c r="N2488" s="1"/>
      <c r="O2488" s="1"/>
      <c r="P2488" s="1"/>
      <c r="Q2488" s="1"/>
      <c r="T2488" s="1"/>
    </row>
    <row r="2489" spans="1:20" x14ac:dyDescent="0.35">
      <c r="A2489" s="37"/>
      <c r="H2489" s="1"/>
      <c r="I2489" s="1"/>
      <c r="J2489" s="1"/>
      <c r="L2489" s="1"/>
      <c r="N2489" s="1"/>
      <c r="O2489" s="1"/>
      <c r="P2489" s="1"/>
      <c r="Q2489" s="1"/>
      <c r="T2489" s="2"/>
    </row>
    <row r="2490" spans="1:20" x14ac:dyDescent="0.35">
      <c r="A2490" s="37"/>
      <c r="H2490" s="1"/>
      <c r="I2490" s="1"/>
      <c r="J2490" s="1"/>
      <c r="L2490" s="1"/>
      <c r="N2490" s="1"/>
      <c r="O2490" s="1"/>
      <c r="P2490" s="1"/>
      <c r="Q2490" s="1"/>
      <c r="T2490" s="2"/>
    </row>
    <row r="2491" spans="1:20" x14ac:dyDescent="0.35">
      <c r="A2491" s="37"/>
      <c r="H2491" s="1"/>
      <c r="I2491" s="1"/>
      <c r="J2491" s="1"/>
      <c r="L2491" s="1"/>
      <c r="N2491" s="1"/>
      <c r="O2491" s="1"/>
      <c r="P2491" s="1"/>
      <c r="Q2491" s="1"/>
      <c r="T2491" s="1"/>
    </row>
    <row r="2492" spans="1:20" x14ac:dyDescent="0.35">
      <c r="A2492" s="37"/>
      <c r="H2492" s="1"/>
      <c r="I2492" s="1"/>
      <c r="J2492" s="1"/>
      <c r="L2492" s="1"/>
      <c r="N2492" s="1"/>
      <c r="O2492" s="1"/>
      <c r="P2492" s="1"/>
      <c r="Q2492" s="1"/>
      <c r="T2492" s="2"/>
    </row>
    <row r="2493" spans="1:20" x14ac:dyDescent="0.35">
      <c r="A2493" s="37"/>
      <c r="H2493" s="1"/>
      <c r="I2493" s="1"/>
      <c r="J2493" s="1"/>
      <c r="L2493" s="1"/>
      <c r="N2493" s="1"/>
      <c r="O2493" s="1"/>
      <c r="P2493" s="1"/>
      <c r="Q2493" s="1"/>
      <c r="T2493" s="1"/>
    </row>
    <row r="2494" spans="1:20" x14ac:dyDescent="0.35">
      <c r="A2494" s="37"/>
      <c r="H2494" s="1"/>
      <c r="I2494" s="1"/>
      <c r="J2494" s="1"/>
      <c r="L2494" s="1"/>
      <c r="M2494" s="39"/>
      <c r="N2494" s="1"/>
      <c r="O2494" s="1"/>
      <c r="P2494" s="1"/>
      <c r="Q2494" s="1"/>
      <c r="T2494" s="2"/>
    </row>
    <row r="2495" spans="1:20" x14ac:dyDescent="0.35">
      <c r="A2495" s="37"/>
      <c r="H2495" s="1"/>
      <c r="I2495" s="1"/>
      <c r="J2495" s="1"/>
      <c r="L2495" s="1"/>
      <c r="N2495" s="1"/>
      <c r="O2495" s="1"/>
      <c r="P2495" s="1"/>
      <c r="Q2495" s="1"/>
      <c r="T2495" s="2"/>
    </row>
    <row r="2496" spans="1:20" x14ac:dyDescent="0.35">
      <c r="A2496" s="37"/>
      <c r="H2496" s="1"/>
      <c r="I2496" s="1"/>
      <c r="J2496" s="1"/>
      <c r="L2496" s="1"/>
      <c r="N2496" s="1"/>
      <c r="O2496" s="1"/>
      <c r="P2496" s="1"/>
      <c r="Q2496" s="1"/>
      <c r="T2496" s="2"/>
    </row>
    <row r="2497" spans="1:20" x14ac:dyDescent="0.35">
      <c r="A2497" s="37"/>
      <c r="H2497" s="1"/>
      <c r="I2497" s="1"/>
      <c r="J2497" s="1"/>
      <c r="L2497" s="1"/>
      <c r="N2497" s="1"/>
      <c r="O2497" s="1"/>
      <c r="P2497" s="1"/>
      <c r="Q2497" s="1"/>
      <c r="T2497" s="2"/>
    </row>
    <row r="2498" spans="1:20" x14ac:dyDescent="0.35">
      <c r="A2498" s="37"/>
      <c r="H2498" s="1"/>
      <c r="I2498" s="1"/>
      <c r="J2498" s="1"/>
      <c r="L2498" s="1"/>
      <c r="O2498" s="1"/>
      <c r="P2498" s="1"/>
      <c r="Q2498" s="1"/>
      <c r="T2498" s="2"/>
    </row>
    <row r="2499" spans="1:20" x14ac:dyDescent="0.35">
      <c r="A2499" s="37"/>
      <c r="H2499" s="1"/>
      <c r="I2499" s="1"/>
      <c r="J2499" s="1"/>
      <c r="L2499" s="1"/>
      <c r="O2499" s="1"/>
      <c r="P2499" s="1"/>
      <c r="Q2499" s="1"/>
      <c r="T2499" s="2"/>
    </row>
    <row r="2500" spans="1:20" x14ac:dyDescent="0.35">
      <c r="A2500" s="37"/>
      <c r="H2500" s="1"/>
      <c r="I2500" s="1"/>
      <c r="J2500" s="1"/>
      <c r="L2500" s="1"/>
      <c r="O2500" s="1"/>
      <c r="P2500" s="1"/>
      <c r="Q2500" s="1"/>
      <c r="T2500" s="2"/>
    </row>
    <row r="2501" spans="1:20" x14ac:dyDescent="0.35">
      <c r="A2501" s="37"/>
      <c r="H2501" s="1"/>
      <c r="I2501" s="1"/>
      <c r="J2501" s="1"/>
      <c r="L2501" s="1"/>
      <c r="O2501" s="1"/>
      <c r="P2501" s="1"/>
      <c r="Q2501" s="1"/>
      <c r="T2501" s="2"/>
    </row>
    <row r="2502" spans="1:20" x14ac:dyDescent="0.35">
      <c r="A2502" s="37"/>
      <c r="H2502" s="1"/>
      <c r="I2502" s="1"/>
      <c r="J2502" s="1"/>
      <c r="L2502" s="1"/>
      <c r="M2502" s="39"/>
      <c r="N2502" s="1"/>
      <c r="O2502" s="1"/>
      <c r="P2502" s="1"/>
      <c r="Q2502" s="1"/>
      <c r="T2502" s="2"/>
    </row>
    <row r="2503" spans="1:20" x14ac:dyDescent="0.35">
      <c r="A2503" s="37"/>
      <c r="H2503" s="1"/>
      <c r="I2503" s="1"/>
      <c r="J2503" s="1"/>
      <c r="L2503" s="1"/>
      <c r="N2503" s="1"/>
      <c r="O2503" s="1"/>
      <c r="P2503" s="1"/>
      <c r="Q2503" s="1"/>
      <c r="T2503" s="1"/>
    </row>
    <row r="2504" spans="1:20" x14ac:dyDescent="0.35">
      <c r="A2504" s="37"/>
      <c r="H2504" s="1"/>
      <c r="I2504" s="1"/>
      <c r="J2504" s="1"/>
      <c r="L2504" s="1"/>
      <c r="N2504" s="1"/>
      <c r="O2504" s="1"/>
      <c r="P2504" s="1"/>
      <c r="Q2504" s="1"/>
      <c r="T2504" s="1"/>
    </row>
    <row r="2505" spans="1:20" x14ac:dyDescent="0.35">
      <c r="A2505" s="37"/>
      <c r="H2505" s="1"/>
      <c r="I2505" s="1"/>
      <c r="J2505" s="1"/>
      <c r="L2505" s="1"/>
      <c r="M2505" s="39"/>
      <c r="N2505" s="1"/>
      <c r="O2505" s="1"/>
      <c r="P2505" s="1"/>
      <c r="Q2505" s="1"/>
      <c r="T2505" s="2"/>
    </row>
    <row r="2506" spans="1:20" x14ac:dyDescent="0.35">
      <c r="A2506" s="37"/>
      <c r="H2506" s="1"/>
      <c r="I2506" s="1"/>
      <c r="J2506" s="1"/>
      <c r="L2506" s="1"/>
      <c r="N2506" s="1"/>
      <c r="O2506" s="1"/>
      <c r="P2506" s="1"/>
      <c r="Q2506" s="1"/>
      <c r="T2506" s="2"/>
    </row>
    <row r="2507" spans="1:20" x14ac:dyDescent="0.35">
      <c r="A2507" s="37"/>
      <c r="H2507" s="1"/>
      <c r="I2507" s="1"/>
      <c r="J2507" s="1"/>
      <c r="L2507" s="1"/>
      <c r="N2507" s="1"/>
      <c r="O2507" s="1"/>
      <c r="P2507" s="1"/>
      <c r="Q2507" s="1"/>
      <c r="T2507" s="2"/>
    </row>
    <row r="2508" spans="1:20" x14ac:dyDescent="0.35">
      <c r="A2508" s="37"/>
      <c r="H2508" s="1"/>
      <c r="I2508" s="1"/>
      <c r="J2508" s="1"/>
      <c r="L2508" s="1"/>
      <c r="N2508" s="1"/>
      <c r="O2508" s="1"/>
      <c r="P2508" s="1"/>
      <c r="Q2508" s="1"/>
      <c r="T2508" s="1"/>
    </row>
    <row r="2509" spans="1:20" x14ac:dyDescent="0.35">
      <c r="A2509" s="37"/>
      <c r="H2509" s="1"/>
      <c r="I2509" s="1"/>
      <c r="J2509" s="1"/>
      <c r="L2509" s="1"/>
      <c r="N2509" s="1"/>
      <c r="O2509" s="1"/>
      <c r="P2509" s="1"/>
      <c r="Q2509" s="1"/>
      <c r="T2509" s="1"/>
    </row>
    <row r="2510" spans="1:20" x14ac:dyDescent="0.35">
      <c r="A2510" s="37"/>
      <c r="H2510" s="7"/>
      <c r="I2510" s="7"/>
      <c r="J2510" s="7"/>
      <c r="L2510" s="7"/>
      <c r="M2510" s="40"/>
      <c r="N2510" s="1"/>
      <c r="O2510" s="1"/>
      <c r="P2510" s="1"/>
      <c r="Q2510" s="1"/>
      <c r="T2510" s="2"/>
    </row>
    <row r="2511" spans="1:20" x14ac:dyDescent="0.35">
      <c r="A2511" s="37"/>
      <c r="H2511" s="1"/>
      <c r="I2511" s="1"/>
      <c r="J2511" s="1"/>
      <c r="L2511" s="1"/>
      <c r="M2511" s="39"/>
      <c r="N2511" s="1"/>
      <c r="O2511" s="1"/>
      <c r="P2511" s="1"/>
      <c r="Q2511" s="1"/>
      <c r="T2511" s="1"/>
    </row>
    <row r="2512" spans="1:20" x14ac:dyDescent="0.35">
      <c r="A2512" s="37"/>
      <c r="H2512" s="1"/>
      <c r="I2512" s="1"/>
      <c r="J2512" s="1"/>
      <c r="L2512" s="1"/>
      <c r="N2512" s="1"/>
      <c r="O2512" s="1"/>
      <c r="P2512" s="1"/>
      <c r="Q2512" s="1"/>
      <c r="T2512" s="2"/>
    </row>
    <row r="2513" spans="1:20" x14ac:dyDescent="0.35">
      <c r="A2513" s="37"/>
      <c r="H2513" s="1"/>
      <c r="I2513" s="1"/>
      <c r="J2513" s="1"/>
      <c r="L2513" s="1"/>
      <c r="N2513" s="1"/>
      <c r="O2513" s="1"/>
      <c r="P2513" s="1"/>
      <c r="Q2513" s="1"/>
      <c r="T2513" s="2"/>
    </row>
    <row r="2514" spans="1:20" x14ac:dyDescent="0.35">
      <c r="A2514" s="37"/>
      <c r="H2514" s="1"/>
      <c r="I2514" s="1"/>
      <c r="J2514" s="1"/>
      <c r="L2514" s="1"/>
      <c r="N2514" s="1"/>
      <c r="O2514" s="1"/>
      <c r="P2514" s="1"/>
      <c r="Q2514" s="1"/>
      <c r="T2514" s="1"/>
    </row>
    <row r="2515" spans="1:20" x14ac:dyDescent="0.35">
      <c r="A2515" s="37"/>
      <c r="H2515" s="1"/>
      <c r="I2515" s="1"/>
      <c r="J2515" s="1"/>
      <c r="L2515" s="1"/>
      <c r="M2515" s="39"/>
      <c r="N2515" s="1"/>
      <c r="O2515" s="1"/>
      <c r="P2515" s="1"/>
      <c r="Q2515" s="1"/>
      <c r="T2515" s="1"/>
    </row>
    <row r="2516" spans="1:20" x14ac:dyDescent="0.35">
      <c r="A2516" s="37"/>
      <c r="H2516" s="1"/>
      <c r="I2516" s="1"/>
      <c r="J2516" s="1"/>
      <c r="L2516" s="1"/>
      <c r="M2516" s="38"/>
      <c r="O2516" s="1"/>
      <c r="P2516" s="1"/>
      <c r="Q2516" s="1"/>
      <c r="T2516" s="2"/>
    </row>
    <row r="2517" spans="1:20" x14ac:dyDescent="0.35">
      <c r="A2517" s="37"/>
      <c r="H2517" s="1"/>
      <c r="I2517" s="1"/>
      <c r="J2517" s="1"/>
      <c r="L2517" s="1"/>
      <c r="M2517" s="38"/>
      <c r="O2517" s="1"/>
      <c r="P2517" s="1"/>
      <c r="Q2517" s="1"/>
      <c r="T2517" s="2"/>
    </row>
    <row r="2518" spans="1:20" x14ac:dyDescent="0.35">
      <c r="A2518" s="37"/>
      <c r="H2518" s="1"/>
      <c r="I2518" s="1"/>
      <c r="J2518" s="1"/>
      <c r="L2518" s="1"/>
      <c r="M2518" s="38"/>
      <c r="O2518" s="1"/>
      <c r="P2518" s="1"/>
      <c r="Q2518" s="1"/>
      <c r="T2518" s="2"/>
    </row>
    <row r="2519" spans="1:20" x14ac:dyDescent="0.35">
      <c r="A2519" s="37"/>
      <c r="H2519" s="1"/>
      <c r="I2519" s="1"/>
      <c r="J2519" s="1"/>
      <c r="L2519" s="1"/>
      <c r="M2519" s="38"/>
      <c r="O2519" s="1"/>
      <c r="P2519" s="1"/>
      <c r="Q2519" s="1"/>
      <c r="T2519" s="2"/>
    </row>
    <row r="2520" spans="1:20" x14ac:dyDescent="0.35">
      <c r="A2520" s="37"/>
      <c r="H2520" s="1"/>
      <c r="I2520" s="1"/>
      <c r="J2520" s="1"/>
      <c r="L2520" s="1"/>
      <c r="N2520" s="1"/>
      <c r="O2520" s="1"/>
      <c r="P2520" s="1"/>
      <c r="Q2520" s="1"/>
      <c r="T2520" s="2"/>
    </row>
    <row r="2521" spans="1:20" x14ac:dyDescent="0.35">
      <c r="A2521" s="37"/>
      <c r="H2521" s="1"/>
      <c r="I2521" s="1"/>
      <c r="J2521" s="1"/>
      <c r="L2521" s="1"/>
      <c r="N2521" s="1"/>
      <c r="O2521" s="1"/>
      <c r="P2521" s="1"/>
      <c r="Q2521" s="1"/>
      <c r="T2521" s="1"/>
    </row>
    <row r="2522" spans="1:20" x14ac:dyDescent="0.35">
      <c r="A2522" s="37"/>
      <c r="H2522" s="1"/>
      <c r="I2522" s="1"/>
      <c r="J2522" s="1"/>
      <c r="L2522" s="1"/>
      <c r="N2522" s="1"/>
      <c r="O2522" s="1"/>
      <c r="P2522" s="1"/>
      <c r="Q2522" s="1"/>
      <c r="T2522" s="1"/>
    </row>
    <row r="2523" spans="1:20" x14ac:dyDescent="0.35">
      <c r="A2523" s="37"/>
      <c r="H2523" s="1"/>
      <c r="I2523" s="1"/>
      <c r="J2523" s="1"/>
      <c r="L2523" s="1"/>
      <c r="N2523" s="1"/>
      <c r="O2523" s="1"/>
      <c r="P2523" s="1"/>
      <c r="Q2523" s="1"/>
      <c r="T2523" s="1"/>
    </row>
    <row r="2524" spans="1:20" x14ac:dyDescent="0.35">
      <c r="A2524" s="37"/>
      <c r="H2524" s="1"/>
      <c r="I2524" s="1"/>
      <c r="J2524" s="1"/>
      <c r="L2524" s="1"/>
      <c r="N2524" s="1"/>
      <c r="O2524" s="1"/>
      <c r="P2524" s="1"/>
      <c r="Q2524" s="1"/>
      <c r="T2524" s="1"/>
    </row>
    <row r="2525" spans="1:20" x14ac:dyDescent="0.35">
      <c r="A2525" s="37"/>
      <c r="H2525" s="1"/>
      <c r="I2525" s="1"/>
      <c r="J2525" s="1"/>
      <c r="L2525" s="1"/>
      <c r="N2525" s="1"/>
      <c r="O2525" s="1"/>
      <c r="P2525" s="1"/>
      <c r="Q2525" s="1"/>
      <c r="T2525" s="1"/>
    </row>
    <row r="2526" spans="1:20" x14ac:dyDescent="0.35">
      <c r="A2526" s="37"/>
      <c r="H2526" s="1"/>
      <c r="I2526" s="1"/>
      <c r="J2526" s="1"/>
      <c r="L2526" s="1"/>
      <c r="N2526" s="1"/>
      <c r="O2526" s="1"/>
      <c r="P2526" s="1"/>
      <c r="Q2526" s="1"/>
      <c r="T2526" s="1"/>
    </row>
    <row r="2527" spans="1:20" x14ac:dyDescent="0.35">
      <c r="A2527" s="37"/>
      <c r="H2527" s="1"/>
      <c r="I2527" s="1"/>
      <c r="J2527" s="1"/>
      <c r="L2527" s="1"/>
      <c r="N2527" s="1"/>
      <c r="O2527" s="1"/>
      <c r="P2527" s="1"/>
      <c r="Q2527" s="1"/>
      <c r="T2527" s="2"/>
    </row>
    <row r="2528" spans="1:20" x14ac:dyDescent="0.35">
      <c r="A2528" s="37"/>
      <c r="H2528" s="1"/>
      <c r="I2528" s="1"/>
      <c r="J2528" s="1"/>
      <c r="L2528" s="1"/>
      <c r="N2528" s="1"/>
      <c r="O2528" s="1"/>
      <c r="P2528" s="1"/>
      <c r="Q2528" s="1"/>
      <c r="T2528" s="1"/>
    </row>
    <row r="2529" spans="1:20" x14ac:dyDescent="0.35">
      <c r="A2529" s="37"/>
      <c r="H2529" s="1"/>
      <c r="I2529" s="1"/>
      <c r="J2529" s="1"/>
      <c r="L2529" s="1"/>
      <c r="N2529" s="1"/>
      <c r="O2529" s="1"/>
      <c r="P2529" s="1"/>
      <c r="Q2529" s="1"/>
      <c r="T2529" s="1"/>
    </row>
    <row r="2530" spans="1:20" x14ac:dyDescent="0.35">
      <c r="A2530" s="37"/>
      <c r="H2530" s="1"/>
      <c r="I2530" s="1"/>
      <c r="J2530" s="1"/>
      <c r="L2530" s="1"/>
      <c r="N2530" s="1"/>
      <c r="O2530" s="1"/>
      <c r="P2530" s="1"/>
      <c r="Q2530" s="1"/>
      <c r="T2530" s="1"/>
    </row>
    <row r="2531" spans="1:20" x14ac:dyDescent="0.35">
      <c r="A2531" s="37"/>
      <c r="H2531" s="1"/>
      <c r="I2531" s="1"/>
      <c r="J2531" s="1"/>
      <c r="L2531" s="1"/>
      <c r="N2531" s="1"/>
      <c r="O2531" s="1"/>
      <c r="P2531" s="1"/>
      <c r="Q2531" s="1"/>
      <c r="T2531" s="1"/>
    </row>
    <row r="2532" spans="1:20" x14ac:dyDescent="0.35">
      <c r="A2532" s="37"/>
      <c r="H2532" s="1"/>
      <c r="I2532" s="1"/>
      <c r="J2532" s="1"/>
      <c r="L2532" s="1"/>
      <c r="N2532" s="1"/>
      <c r="O2532" s="1"/>
      <c r="P2532" s="1"/>
      <c r="Q2532" s="1"/>
      <c r="T2532" s="2"/>
    </row>
    <row r="2533" spans="1:20" x14ac:dyDescent="0.35">
      <c r="A2533" s="37"/>
      <c r="H2533" s="1"/>
      <c r="I2533" s="1"/>
      <c r="J2533" s="1"/>
      <c r="L2533" s="1"/>
      <c r="N2533" s="1"/>
      <c r="O2533" s="1"/>
      <c r="P2533" s="1"/>
      <c r="Q2533" s="1"/>
      <c r="T2533" s="2"/>
    </row>
    <row r="2534" spans="1:20" x14ac:dyDescent="0.35">
      <c r="A2534" s="37"/>
      <c r="H2534" s="1"/>
      <c r="I2534" s="1"/>
      <c r="J2534" s="1"/>
      <c r="L2534" s="1"/>
      <c r="N2534" s="1"/>
      <c r="O2534" s="1"/>
      <c r="P2534" s="1"/>
      <c r="Q2534" s="1"/>
      <c r="T2534" s="2"/>
    </row>
    <row r="2535" spans="1:20" x14ac:dyDescent="0.35">
      <c r="A2535" s="37"/>
      <c r="H2535" s="1"/>
      <c r="I2535" s="1"/>
      <c r="J2535" s="1"/>
      <c r="L2535" s="1"/>
      <c r="N2535" s="1"/>
      <c r="O2535" s="1"/>
      <c r="P2535" s="1"/>
      <c r="Q2535" s="1"/>
      <c r="T2535" s="1"/>
    </row>
    <row r="2536" spans="1:20" x14ac:dyDescent="0.35">
      <c r="A2536" s="37"/>
      <c r="H2536" s="1"/>
      <c r="I2536" s="1"/>
      <c r="J2536" s="1"/>
      <c r="L2536" s="1"/>
      <c r="N2536" s="1"/>
      <c r="O2536" s="1"/>
      <c r="P2536" s="1"/>
      <c r="Q2536" s="1"/>
      <c r="T2536" s="2"/>
    </row>
    <row r="2537" spans="1:20" x14ac:dyDescent="0.35">
      <c r="A2537" s="37"/>
      <c r="H2537" s="1"/>
      <c r="I2537" s="1"/>
      <c r="J2537" s="1"/>
      <c r="L2537" s="1"/>
      <c r="N2537" s="1"/>
      <c r="O2537" s="1"/>
      <c r="P2537" s="1"/>
      <c r="Q2537" s="1"/>
      <c r="T2537" s="2"/>
    </row>
    <row r="2538" spans="1:20" x14ac:dyDescent="0.35">
      <c r="A2538" s="37"/>
      <c r="H2538" s="1"/>
      <c r="I2538" s="1"/>
      <c r="J2538" s="1"/>
      <c r="L2538" s="1"/>
      <c r="O2538" s="1"/>
      <c r="P2538" s="1"/>
      <c r="Q2538" s="1"/>
      <c r="T2538" s="1"/>
    </row>
    <row r="2539" spans="1:20" x14ac:dyDescent="0.35">
      <c r="A2539" s="37"/>
      <c r="H2539" s="1"/>
      <c r="I2539" s="1"/>
      <c r="J2539" s="1"/>
      <c r="L2539" s="1"/>
      <c r="O2539" s="1"/>
      <c r="P2539" s="1"/>
      <c r="Q2539" s="1"/>
      <c r="T2539" s="1"/>
    </row>
    <row r="2540" spans="1:20" x14ac:dyDescent="0.35">
      <c r="A2540" s="37"/>
      <c r="H2540" s="1"/>
      <c r="I2540" s="1"/>
      <c r="J2540" s="1"/>
      <c r="L2540" s="1"/>
      <c r="O2540" s="1"/>
      <c r="P2540" s="1"/>
      <c r="Q2540" s="1"/>
      <c r="T2540" s="1"/>
    </row>
    <row r="2541" spans="1:20" x14ac:dyDescent="0.35">
      <c r="A2541" s="37"/>
      <c r="H2541" s="1"/>
      <c r="I2541" s="1"/>
      <c r="J2541" s="1"/>
      <c r="L2541" s="1"/>
      <c r="N2541" s="1"/>
      <c r="O2541" s="1"/>
      <c r="P2541" s="1"/>
      <c r="Q2541" s="1"/>
      <c r="T2541" s="2"/>
    </row>
    <row r="2542" spans="1:20" x14ac:dyDescent="0.35">
      <c r="A2542" s="37"/>
      <c r="H2542" s="1"/>
      <c r="I2542" s="1"/>
      <c r="J2542" s="1"/>
      <c r="L2542" s="1"/>
      <c r="O2542" s="1"/>
      <c r="P2542" s="1"/>
      <c r="Q2542" s="1"/>
      <c r="T2542" s="2"/>
    </row>
    <row r="2543" spans="1:20" x14ac:dyDescent="0.35">
      <c r="A2543" s="37"/>
      <c r="H2543" s="1"/>
      <c r="I2543" s="1"/>
      <c r="J2543" s="1"/>
      <c r="L2543" s="1"/>
      <c r="M2543" s="39"/>
      <c r="N2543" s="1"/>
      <c r="O2543" s="1"/>
      <c r="P2543" s="1"/>
      <c r="Q2543" s="1"/>
      <c r="T2543" s="2"/>
    </row>
    <row r="2544" spans="1:20" x14ac:dyDescent="0.35">
      <c r="A2544" s="37"/>
      <c r="H2544" s="1"/>
      <c r="I2544" s="1"/>
      <c r="J2544" s="1"/>
      <c r="L2544" s="1"/>
      <c r="N2544" s="1"/>
      <c r="O2544" s="1"/>
      <c r="P2544" s="1"/>
      <c r="Q2544" s="1"/>
      <c r="T2544" s="1"/>
    </row>
    <row r="2545" spans="1:20" x14ac:dyDescent="0.35">
      <c r="A2545" s="37"/>
      <c r="H2545" s="1"/>
      <c r="I2545" s="1"/>
      <c r="J2545" s="1"/>
      <c r="L2545" s="1"/>
      <c r="M2545" s="39"/>
      <c r="N2545" s="1"/>
      <c r="O2545" s="1"/>
      <c r="P2545" s="1"/>
      <c r="Q2545" s="1"/>
      <c r="T2545" s="2"/>
    </row>
    <row r="2546" spans="1:20" x14ac:dyDescent="0.35">
      <c r="A2546" s="37"/>
      <c r="H2546" s="1"/>
      <c r="I2546" s="1"/>
      <c r="J2546" s="1"/>
      <c r="L2546" s="1"/>
      <c r="M2546" s="39"/>
      <c r="N2546" s="1"/>
      <c r="O2546" s="1"/>
      <c r="P2546" s="1"/>
      <c r="Q2546" s="1"/>
      <c r="T2546" s="2"/>
    </row>
    <row r="2547" spans="1:20" x14ac:dyDescent="0.35">
      <c r="A2547" s="37"/>
      <c r="H2547" s="1"/>
      <c r="I2547" s="1"/>
      <c r="J2547" s="1"/>
      <c r="L2547" s="1"/>
      <c r="N2547" s="1"/>
      <c r="O2547" s="1"/>
      <c r="P2547" s="1"/>
      <c r="Q2547" s="1"/>
      <c r="T2547" s="1"/>
    </row>
    <row r="2548" spans="1:20" x14ac:dyDescent="0.35">
      <c r="A2548" s="37"/>
      <c r="H2548" s="1"/>
      <c r="I2548" s="1"/>
      <c r="J2548" s="1"/>
      <c r="L2548" s="1"/>
      <c r="N2548" s="1"/>
      <c r="O2548" s="1"/>
      <c r="P2548" s="1"/>
      <c r="Q2548" s="1"/>
      <c r="T2548" s="1"/>
    </row>
    <row r="2549" spans="1:20" x14ac:dyDescent="0.35">
      <c r="A2549" s="37"/>
      <c r="H2549" s="1"/>
      <c r="I2549" s="1"/>
      <c r="J2549" s="1"/>
      <c r="L2549" s="1"/>
      <c r="N2549" s="1"/>
      <c r="O2549" s="1"/>
      <c r="P2549" s="1"/>
      <c r="Q2549" s="1"/>
      <c r="T2549" s="1"/>
    </row>
    <row r="2550" spans="1:20" x14ac:dyDescent="0.35">
      <c r="A2550" s="37"/>
      <c r="H2550" s="1"/>
      <c r="I2550" s="1"/>
      <c r="J2550" s="1"/>
      <c r="L2550" s="1"/>
      <c r="N2550" s="1"/>
      <c r="O2550" s="1"/>
      <c r="P2550" s="1"/>
      <c r="Q2550" s="1"/>
      <c r="T2550" s="1"/>
    </row>
    <row r="2551" spans="1:20" x14ac:dyDescent="0.35">
      <c r="A2551" s="37"/>
      <c r="H2551" s="1"/>
      <c r="I2551" s="1"/>
      <c r="J2551" s="1"/>
      <c r="L2551" s="1"/>
      <c r="N2551" s="1"/>
      <c r="O2551" s="1"/>
      <c r="P2551" s="1"/>
      <c r="Q2551" s="1"/>
      <c r="T2551" s="1"/>
    </row>
    <row r="2552" spans="1:20" x14ac:dyDescent="0.35">
      <c r="A2552" s="37"/>
      <c r="H2552" s="1"/>
      <c r="I2552" s="1"/>
      <c r="J2552" s="1"/>
      <c r="L2552" s="1"/>
      <c r="N2552" s="1"/>
      <c r="O2552" s="1"/>
      <c r="P2552" s="1"/>
      <c r="Q2552" s="1"/>
      <c r="T2552" s="2"/>
    </row>
    <row r="2553" spans="1:20" x14ac:dyDescent="0.35">
      <c r="A2553" s="37"/>
      <c r="H2553" s="1"/>
      <c r="I2553" s="1"/>
      <c r="J2553" s="1"/>
      <c r="L2553" s="1"/>
      <c r="N2553" s="1"/>
      <c r="O2553" s="1"/>
      <c r="P2553" s="1"/>
      <c r="Q2553" s="1"/>
      <c r="T2553" s="2"/>
    </row>
    <row r="2554" spans="1:20" x14ac:dyDescent="0.35">
      <c r="A2554" s="37"/>
      <c r="H2554" s="1"/>
      <c r="I2554" s="1"/>
      <c r="J2554" s="1"/>
      <c r="L2554" s="1"/>
      <c r="N2554" s="1"/>
      <c r="O2554" s="1"/>
      <c r="P2554" s="1"/>
      <c r="Q2554" s="1"/>
      <c r="T2554" s="2"/>
    </row>
    <row r="2555" spans="1:20" x14ac:dyDescent="0.35">
      <c r="A2555" s="37"/>
      <c r="H2555" s="1"/>
      <c r="I2555" s="1"/>
      <c r="J2555" s="1"/>
      <c r="L2555" s="1"/>
      <c r="N2555" s="1"/>
      <c r="O2555" s="1"/>
      <c r="P2555" s="1"/>
      <c r="Q2555" s="1"/>
      <c r="T2555" s="2"/>
    </row>
    <row r="2556" spans="1:20" x14ac:dyDescent="0.35">
      <c r="A2556" s="37"/>
      <c r="H2556" s="1"/>
      <c r="I2556" s="1"/>
      <c r="J2556" s="1"/>
      <c r="L2556" s="1"/>
      <c r="N2556" s="1"/>
      <c r="O2556" s="1"/>
      <c r="P2556" s="1"/>
      <c r="Q2556" s="1"/>
      <c r="T2556" s="2"/>
    </row>
    <row r="2557" spans="1:20" x14ac:dyDescent="0.35">
      <c r="A2557" s="37"/>
      <c r="H2557" s="1"/>
      <c r="I2557" s="1"/>
      <c r="J2557" s="1"/>
      <c r="L2557" s="1"/>
      <c r="N2557" s="1"/>
      <c r="O2557" s="1"/>
      <c r="P2557" s="1"/>
      <c r="Q2557" s="1"/>
      <c r="T2557" s="2"/>
    </row>
    <row r="2558" spans="1:20" x14ac:dyDescent="0.35">
      <c r="A2558" s="37"/>
      <c r="H2558" s="1"/>
      <c r="I2558" s="1"/>
      <c r="J2558" s="1"/>
      <c r="L2558" s="1"/>
      <c r="O2558" s="1"/>
      <c r="P2558" s="1"/>
      <c r="Q2558" s="1"/>
      <c r="T2558" s="2"/>
    </row>
    <row r="2559" spans="1:20" x14ac:dyDescent="0.35">
      <c r="A2559" s="37"/>
      <c r="H2559" s="1"/>
      <c r="I2559" s="1"/>
      <c r="J2559" s="1"/>
      <c r="L2559" s="1"/>
      <c r="N2559" s="1"/>
      <c r="O2559" s="1"/>
      <c r="P2559" s="1"/>
      <c r="Q2559" s="1"/>
      <c r="T2559" s="1"/>
    </row>
    <row r="2560" spans="1:20" x14ac:dyDescent="0.35">
      <c r="A2560" s="37"/>
      <c r="H2560" s="1"/>
      <c r="I2560" s="1"/>
      <c r="J2560" s="1"/>
      <c r="L2560" s="1"/>
      <c r="N2560" s="1"/>
      <c r="O2560" s="1"/>
      <c r="P2560" s="1"/>
      <c r="Q2560" s="1"/>
      <c r="T2560" s="2"/>
    </row>
    <row r="2561" spans="1:20" x14ac:dyDescent="0.35">
      <c r="A2561" s="37"/>
      <c r="H2561" s="1"/>
      <c r="I2561" s="1"/>
      <c r="J2561" s="1"/>
      <c r="L2561" s="1"/>
      <c r="M2561" s="39"/>
      <c r="N2561" s="1"/>
      <c r="O2561" s="1"/>
      <c r="P2561" s="1"/>
      <c r="Q2561" s="1"/>
      <c r="T2561" s="2"/>
    </row>
    <row r="2562" spans="1:20" x14ac:dyDescent="0.35">
      <c r="A2562" s="37"/>
      <c r="H2562" s="1"/>
      <c r="I2562" s="1"/>
      <c r="J2562" s="1"/>
      <c r="L2562" s="1"/>
      <c r="N2562" s="1"/>
      <c r="O2562" s="1"/>
      <c r="P2562" s="1"/>
      <c r="Q2562" s="1"/>
      <c r="T2562" s="2"/>
    </row>
    <row r="2563" spans="1:20" x14ac:dyDescent="0.35">
      <c r="A2563" s="37"/>
      <c r="H2563" s="1"/>
      <c r="I2563" s="1"/>
      <c r="J2563" s="1"/>
      <c r="L2563" s="1"/>
      <c r="N2563" s="1"/>
      <c r="O2563" s="1"/>
      <c r="P2563" s="1"/>
      <c r="Q2563" s="1"/>
      <c r="T2563" s="2"/>
    </row>
    <row r="2564" spans="1:20" x14ac:dyDescent="0.35">
      <c r="A2564" s="37"/>
      <c r="H2564" s="1"/>
      <c r="I2564" s="1"/>
      <c r="J2564" s="1"/>
      <c r="L2564" s="1"/>
      <c r="O2564" s="1"/>
      <c r="P2564" s="1"/>
      <c r="Q2564" s="1"/>
      <c r="T2564" s="1"/>
    </row>
    <row r="2565" spans="1:20" x14ac:dyDescent="0.35">
      <c r="A2565" s="37"/>
      <c r="H2565" s="7"/>
      <c r="I2565" s="7"/>
      <c r="J2565" s="7"/>
      <c r="L2565" s="7"/>
      <c r="M2565" s="40"/>
      <c r="O2565" s="1"/>
      <c r="P2565" s="1"/>
      <c r="Q2565" s="1"/>
      <c r="T2565" s="2"/>
    </row>
    <row r="2566" spans="1:20" x14ac:dyDescent="0.35">
      <c r="A2566" s="37"/>
      <c r="H2566" s="7"/>
      <c r="I2566" s="7"/>
      <c r="J2566" s="7"/>
      <c r="L2566" s="7"/>
      <c r="M2566" s="40"/>
      <c r="O2566" s="1"/>
      <c r="P2566" s="1"/>
      <c r="Q2566" s="1"/>
      <c r="T2566" s="2"/>
    </row>
    <row r="2567" spans="1:20" x14ac:dyDescent="0.35">
      <c r="A2567" s="37"/>
      <c r="H2567" s="1"/>
      <c r="I2567" s="1"/>
      <c r="J2567" s="1"/>
      <c r="L2567" s="1"/>
      <c r="N2567" s="1"/>
      <c r="O2567" s="1"/>
      <c r="P2567" s="1"/>
      <c r="Q2567" s="1"/>
      <c r="T2567" s="1"/>
    </row>
    <row r="2568" spans="1:20" x14ac:dyDescent="0.35">
      <c r="A2568" s="37"/>
      <c r="H2568" s="1"/>
      <c r="I2568" s="1"/>
      <c r="J2568" s="1"/>
      <c r="L2568" s="1"/>
      <c r="N2568" s="1"/>
      <c r="O2568" s="1"/>
      <c r="P2568" s="1"/>
      <c r="Q2568" s="1"/>
      <c r="T2568" s="1"/>
    </row>
    <row r="2569" spans="1:20" x14ac:dyDescent="0.35">
      <c r="A2569" s="37"/>
      <c r="H2569" s="1"/>
      <c r="I2569" s="1"/>
      <c r="J2569" s="1"/>
      <c r="L2569" s="1"/>
      <c r="N2569" s="1"/>
      <c r="O2569" s="1"/>
      <c r="P2569" s="1"/>
      <c r="Q2569" s="1"/>
      <c r="T2569" s="1"/>
    </row>
    <row r="2570" spans="1:20" x14ac:dyDescent="0.35">
      <c r="A2570" s="37"/>
      <c r="H2570" s="1"/>
      <c r="I2570" s="1"/>
      <c r="J2570" s="1"/>
      <c r="L2570" s="1"/>
      <c r="N2570" s="1"/>
      <c r="O2570" s="1"/>
      <c r="P2570" s="1"/>
      <c r="Q2570" s="1"/>
      <c r="T2570" s="1"/>
    </row>
    <row r="2571" spans="1:20" x14ac:dyDescent="0.35">
      <c r="A2571" s="37"/>
      <c r="H2571" s="1"/>
      <c r="I2571" s="1"/>
      <c r="J2571" s="1"/>
      <c r="L2571" s="1"/>
      <c r="N2571" s="1"/>
      <c r="O2571" s="1"/>
      <c r="P2571" s="1"/>
      <c r="Q2571" s="1"/>
      <c r="T2571" s="1"/>
    </row>
    <row r="2572" spans="1:20" x14ac:dyDescent="0.35">
      <c r="A2572" s="37"/>
      <c r="H2572" s="1"/>
      <c r="I2572" s="1"/>
      <c r="J2572" s="1"/>
      <c r="L2572" s="1"/>
      <c r="N2572" s="1"/>
      <c r="O2572" s="1"/>
      <c r="P2572" s="1"/>
      <c r="Q2572" s="1"/>
      <c r="T2572" s="2"/>
    </row>
    <row r="2573" spans="1:20" x14ac:dyDescent="0.35">
      <c r="A2573" s="37"/>
      <c r="H2573" s="1"/>
      <c r="I2573" s="1"/>
      <c r="J2573" s="1"/>
      <c r="L2573" s="1"/>
      <c r="N2573" s="1"/>
      <c r="O2573" s="1"/>
      <c r="P2573" s="1"/>
      <c r="Q2573" s="1"/>
      <c r="T2573" s="2"/>
    </row>
    <row r="2574" spans="1:20" x14ac:dyDescent="0.35">
      <c r="A2574" s="37"/>
      <c r="H2574" s="1"/>
      <c r="I2574" s="1"/>
      <c r="J2574" s="1"/>
      <c r="L2574" s="1"/>
      <c r="N2574" s="1"/>
      <c r="O2574" s="1"/>
      <c r="P2574" s="1"/>
      <c r="Q2574" s="1"/>
      <c r="T2574" s="1"/>
    </row>
    <row r="2575" spans="1:20" x14ac:dyDescent="0.35">
      <c r="A2575" s="37"/>
      <c r="H2575" s="1"/>
      <c r="I2575" s="1"/>
      <c r="J2575" s="1"/>
      <c r="L2575" s="1"/>
      <c r="N2575" s="1"/>
      <c r="O2575" s="1"/>
      <c r="P2575" s="1"/>
      <c r="Q2575" s="1"/>
      <c r="T2575" s="2"/>
    </row>
    <row r="2576" spans="1:20" x14ac:dyDescent="0.35">
      <c r="A2576" s="37"/>
      <c r="H2576" s="1"/>
      <c r="I2576" s="1"/>
      <c r="J2576" s="1"/>
      <c r="L2576" s="1"/>
      <c r="O2576" s="1"/>
      <c r="P2576" s="1"/>
      <c r="Q2576" s="1"/>
      <c r="T2576" s="2"/>
    </row>
    <row r="2577" spans="1:20" x14ac:dyDescent="0.35">
      <c r="A2577" s="37"/>
      <c r="H2577" s="1"/>
      <c r="I2577" s="1"/>
      <c r="J2577" s="1"/>
      <c r="L2577" s="1"/>
      <c r="O2577" s="1"/>
      <c r="P2577" s="1"/>
      <c r="Q2577" s="1"/>
      <c r="T2577" s="1"/>
    </row>
    <row r="2578" spans="1:20" x14ac:dyDescent="0.35">
      <c r="A2578" s="37"/>
      <c r="H2578" s="1"/>
      <c r="I2578" s="1"/>
      <c r="J2578" s="1"/>
      <c r="L2578" s="1"/>
      <c r="O2578" s="1"/>
      <c r="P2578" s="1"/>
      <c r="Q2578" s="1"/>
      <c r="T2578" s="1"/>
    </row>
    <row r="2579" spans="1:20" x14ac:dyDescent="0.35">
      <c r="A2579" s="37"/>
      <c r="H2579" s="1"/>
      <c r="I2579" s="1"/>
      <c r="J2579" s="1"/>
      <c r="L2579" s="1"/>
      <c r="O2579" s="1"/>
      <c r="P2579" s="1"/>
      <c r="Q2579" s="1"/>
      <c r="T2579" s="1"/>
    </row>
    <row r="2580" spans="1:20" x14ac:dyDescent="0.35">
      <c r="A2580" s="37"/>
      <c r="H2580" s="1"/>
      <c r="I2580" s="1"/>
      <c r="J2580" s="1"/>
      <c r="L2580" s="1"/>
      <c r="N2580" s="1"/>
      <c r="O2580" s="1"/>
      <c r="P2580" s="1"/>
      <c r="Q2580" s="1"/>
      <c r="T2580" s="1"/>
    </row>
    <row r="2581" spans="1:20" x14ac:dyDescent="0.35">
      <c r="A2581" s="37"/>
      <c r="H2581" s="1"/>
      <c r="I2581" s="1"/>
      <c r="J2581" s="1"/>
      <c r="L2581" s="1"/>
      <c r="N2581" s="1"/>
      <c r="O2581" s="1"/>
      <c r="P2581" s="1"/>
      <c r="Q2581" s="1"/>
      <c r="T2581" s="1"/>
    </row>
    <row r="2582" spans="1:20" x14ac:dyDescent="0.35">
      <c r="A2582" s="37"/>
      <c r="H2582" s="1"/>
      <c r="I2582" s="1"/>
      <c r="J2582" s="1"/>
      <c r="L2582" s="1"/>
      <c r="N2582" s="1"/>
      <c r="O2582" s="1"/>
      <c r="P2582" s="1"/>
      <c r="Q2582" s="1"/>
      <c r="T2582" s="1"/>
    </row>
    <row r="2583" spans="1:20" x14ac:dyDescent="0.35">
      <c r="A2583" s="37"/>
      <c r="H2583" s="1"/>
      <c r="I2583" s="1"/>
      <c r="J2583" s="1"/>
      <c r="L2583" s="1"/>
      <c r="N2583" s="1"/>
      <c r="O2583" s="1"/>
      <c r="P2583" s="1"/>
      <c r="Q2583" s="1"/>
      <c r="T2583" s="2"/>
    </row>
    <row r="2584" spans="1:20" x14ac:dyDescent="0.35">
      <c r="A2584" s="37"/>
      <c r="H2584" s="1"/>
      <c r="I2584" s="1"/>
      <c r="J2584" s="1"/>
      <c r="L2584" s="1"/>
      <c r="N2584" s="1"/>
      <c r="O2584" s="1"/>
      <c r="P2584" s="1"/>
      <c r="Q2584" s="1"/>
      <c r="T2584" s="2"/>
    </row>
    <row r="2585" spans="1:20" x14ac:dyDescent="0.35">
      <c r="A2585" s="37"/>
      <c r="H2585" s="1"/>
      <c r="I2585" s="1"/>
      <c r="J2585" s="1"/>
      <c r="L2585" s="1"/>
      <c r="N2585" s="1"/>
      <c r="O2585" s="1"/>
      <c r="P2585" s="1"/>
      <c r="Q2585" s="1"/>
      <c r="T2585" s="1"/>
    </row>
    <row r="2586" spans="1:20" x14ac:dyDescent="0.35">
      <c r="A2586" s="37"/>
      <c r="H2586" s="1"/>
      <c r="I2586" s="1"/>
      <c r="J2586" s="1"/>
      <c r="L2586" s="1"/>
      <c r="N2586" s="1"/>
      <c r="O2586" s="1"/>
      <c r="P2586" s="1"/>
      <c r="Q2586" s="1"/>
      <c r="T2586" s="1"/>
    </row>
    <row r="2587" spans="1:20" x14ac:dyDescent="0.35">
      <c r="A2587" s="37"/>
      <c r="H2587" s="1"/>
      <c r="I2587" s="1"/>
      <c r="J2587" s="1"/>
      <c r="L2587" s="1"/>
      <c r="O2587" s="1"/>
      <c r="P2587" s="1"/>
      <c r="Q2587" s="1"/>
      <c r="T2587" s="2"/>
    </row>
    <row r="2588" spans="1:20" x14ac:dyDescent="0.35">
      <c r="A2588" s="37"/>
      <c r="H2588" s="1"/>
      <c r="I2588" s="1"/>
      <c r="J2588" s="1"/>
      <c r="L2588" s="1"/>
      <c r="O2588" s="1"/>
      <c r="P2588" s="1"/>
      <c r="Q2588" s="1"/>
      <c r="T2588" s="2"/>
    </row>
    <row r="2589" spans="1:20" x14ac:dyDescent="0.35">
      <c r="A2589" s="37"/>
      <c r="H2589" s="1"/>
      <c r="I2589" s="1"/>
      <c r="J2589" s="1"/>
      <c r="L2589" s="1"/>
      <c r="N2589" s="1"/>
      <c r="O2589" s="1"/>
      <c r="P2589" s="1"/>
      <c r="Q2589" s="1"/>
      <c r="T2589" s="1"/>
    </row>
    <row r="2590" spans="1:20" x14ac:dyDescent="0.35">
      <c r="A2590" s="37"/>
      <c r="H2590" s="1"/>
      <c r="I2590" s="1"/>
      <c r="J2590" s="1"/>
      <c r="L2590" s="1"/>
      <c r="N2590" s="1"/>
      <c r="O2590" s="1"/>
      <c r="P2590" s="1"/>
      <c r="Q2590" s="1"/>
      <c r="T2590" s="1"/>
    </row>
    <row r="2591" spans="1:20" x14ac:dyDescent="0.35">
      <c r="A2591" s="37"/>
      <c r="H2591" s="1"/>
      <c r="I2591" s="1"/>
      <c r="J2591" s="1"/>
      <c r="L2591" s="1"/>
      <c r="N2591" s="1"/>
      <c r="O2591" s="1"/>
      <c r="P2591" s="1"/>
      <c r="Q2591" s="1"/>
      <c r="T2591" s="2"/>
    </row>
    <row r="2592" spans="1:20" x14ac:dyDescent="0.35">
      <c r="A2592" s="37"/>
      <c r="H2592" s="1"/>
      <c r="I2592" s="1"/>
      <c r="J2592" s="1"/>
      <c r="L2592" s="1"/>
      <c r="N2592" s="1"/>
      <c r="O2592" s="1"/>
      <c r="P2592" s="1"/>
      <c r="Q2592" s="1"/>
      <c r="T2592" s="2"/>
    </row>
    <row r="2593" spans="1:20" x14ac:dyDescent="0.35">
      <c r="A2593" s="37"/>
      <c r="H2593" s="1"/>
      <c r="I2593" s="1"/>
      <c r="J2593" s="1"/>
      <c r="L2593" s="1"/>
      <c r="M2593" s="39"/>
      <c r="O2593" s="1"/>
      <c r="P2593" s="1"/>
      <c r="Q2593" s="1"/>
      <c r="T2593" s="2"/>
    </row>
    <row r="2594" spans="1:20" x14ac:dyDescent="0.35">
      <c r="A2594" s="37"/>
      <c r="H2594" s="1"/>
      <c r="I2594" s="1"/>
      <c r="J2594" s="1"/>
      <c r="L2594" s="1"/>
      <c r="O2594" s="1"/>
      <c r="P2594" s="1"/>
      <c r="Q2594" s="1"/>
      <c r="T2594" s="2"/>
    </row>
    <row r="2595" spans="1:20" x14ac:dyDescent="0.35">
      <c r="A2595" s="37"/>
      <c r="H2595" s="1"/>
      <c r="I2595" s="1"/>
      <c r="J2595" s="1"/>
      <c r="L2595" s="1"/>
      <c r="M2595" s="39"/>
      <c r="N2595" s="1"/>
      <c r="O2595" s="1"/>
      <c r="P2595" s="1"/>
      <c r="Q2595" s="1"/>
      <c r="T2595" s="2"/>
    </row>
    <row r="2596" spans="1:20" x14ac:dyDescent="0.35">
      <c r="A2596" s="37"/>
      <c r="H2596" s="1"/>
      <c r="I2596" s="1"/>
      <c r="J2596" s="1"/>
      <c r="L2596" s="1"/>
      <c r="N2596" s="1"/>
      <c r="O2596" s="1"/>
      <c r="P2596" s="1"/>
      <c r="Q2596" s="1"/>
      <c r="T2596" s="1"/>
    </row>
    <row r="2597" spans="1:20" x14ac:dyDescent="0.35">
      <c r="A2597" s="37"/>
      <c r="H2597" s="1"/>
      <c r="I2597" s="1"/>
      <c r="J2597" s="1"/>
      <c r="L2597" s="1"/>
      <c r="N2597" s="1"/>
      <c r="O2597" s="1"/>
      <c r="P2597" s="1"/>
      <c r="Q2597" s="1"/>
      <c r="T2597" s="2"/>
    </row>
    <row r="2598" spans="1:20" x14ac:dyDescent="0.35">
      <c r="A2598" s="37"/>
      <c r="H2598" s="1"/>
      <c r="I2598" s="1"/>
      <c r="J2598" s="1"/>
      <c r="L2598" s="1"/>
      <c r="N2598" s="1"/>
      <c r="O2598" s="1"/>
      <c r="P2598" s="1"/>
      <c r="Q2598" s="1"/>
      <c r="T2598" s="2"/>
    </row>
    <row r="2599" spans="1:20" x14ac:dyDescent="0.35">
      <c r="A2599" s="37"/>
      <c r="H2599" s="1"/>
      <c r="I2599" s="1"/>
      <c r="J2599" s="1"/>
      <c r="L2599" s="1"/>
      <c r="N2599" s="1"/>
      <c r="O2599" s="1"/>
      <c r="P2599" s="1"/>
      <c r="Q2599" s="1"/>
      <c r="T2599" s="1"/>
    </row>
    <row r="2600" spans="1:20" x14ac:dyDescent="0.35">
      <c r="A2600" s="37"/>
      <c r="H2600" s="1"/>
      <c r="I2600" s="1"/>
      <c r="J2600" s="1"/>
      <c r="L2600" s="1"/>
      <c r="N2600" s="1"/>
      <c r="O2600" s="1"/>
      <c r="P2600" s="1"/>
      <c r="Q2600" s="1"/>
      <c r="T2600" s="1"/>
    </row>
    <row r="2601" spans="1:20" x14ac:dyDescent="0.35">
      <c r="A2601" s="37"/>
      <c r="H2601" s="1"/>
      <c r="I2601" s="1"/>
      <c r="J2601" s="1"/>
      <c r="L2601" s="1"/>
      <c r="N2601" s="1"/>
      <c r="O2601" s="1"/>
      <c r="P2601" s="1"/>
      <c r="Q2601" s="1"/>
      <c r="T2601" s="2"/>
    </row>
    <row r="2602" spans="1:20" x14ac:dyDescent="0.35">
      <c r="A2602" s="37"/>
      <c r="H2602" s="1"/>
      <c r="I2602" s="1"/>
      <c r="J2602" s="1"/>
      <c r="L2602" s="1"/>
      <c r="N2602" s="1"/>
      <c r="O2602" s="1"/>
      <c r="P2602" s="1"/>
      <c r="Q2602" s="1"/>
      <c r="T2602" s="2"/>
    </row>
    <row r="2603" spans="1:20" x14ac:dyDescent="0.35">
      <c r="A2603" s="37"/>
      <c r="H2603" s="1"/>
      <c r="I2603" s="1"/>
      <c r="J2603" s="1"/>
      <c r="L2603" s="1"/>
      <c r="N2603" s="1"/>
      <c r="O2603" s="1"/>
      <c r="P2603" s="1"/>
      <c r="Q2603" s="1"/>
      <c r="T2603" s="2"/>
    </row>
    <row r="2604" spans="1:20" x14ac:dyDescent="0.35">
      <c r="A2604" s="37"/>
      <c r="H2604" s="1"/>
      <c r="I2604" s="1"/>
      <c r="J2604" s="1"/>
      <c r="L2604" s="1"/>
      <c r="N2604" s="1"/>
      <c r="O2604" s="1"/>
      <c r="P2604" s="1"/>
      <c r="Q2604" s="1"/>
      <c r="T2604" s="1"/>
    </row>
    <row r="2605" spans="1:20" x14ac:dyDescent="0.35">
      <c r="A2605" s="37"/>
      <c r="H2605" s="1"/>
      <c r="I2605" s="1"/>
      <c r="J2605" s="1"/>
      <c r="L2605" s="1"/>
      <c r="N2605" s="1"/>
      <c r="O2605" s="1"/>
      <c r="P2605" s="1"/>
      <c r="Q2605" s="1"/>
      <c r="T2605" s="1"/>
    </row>
    <row r="2606" spans="1:20" x14ac:dyDescent="0.35">
      <c r="A2606" s="37"/>
      <c r="H2606" s="1"/>
      <c r="I2606" s="1"/>
      <c r="J2606" s="1"/>
      <c r="L2606" s="1"/>
      <c r="N2606" s="1"/>
      <c r="O2606" s="1"/>
      <c r="P2606" s="1"/>
      <c r="Q2606" s="1"/>
      <c r="T2606" s="1"/>
    </row>
    <row r="2607" spans="1:20" x14ac:dyDescent="0.35">
      <c r="A2607" s="37"/>
      <c r="H2607" s="1"/>
      <c r="I2607" s="1"/>
      <c r="J2607" s="1"/>
      <c r="L2607" s="1"/>
      <c r="O2607" s="1"/>
      <c r="P2607" s="1"/>
      <c r="Q2607" s="1"/>
      <c r="T2607" s="2"/>
    </row>
    <row r="2608" spans="1:20" x14ac:dyDescent="0.35">
      <c r="A2608" s="37"/>
      <c r="H2608" s="1"/>
      <c r="I2608" s="1"/>
      <c r="J2608" s="1"/>
      <c r="L2608" s="1"/>
      <c r="N2608" s="1"/>
      <c r="O2608" s="1"/>
      <c r="P2608" s="1"/>
      <c r="Q2608" s="1"/>
      <c r="T2608" s="1"/>
    </row>
    <row r="2609" spans="1:20" x14ac:dyDescent="0.35">
      <c r="A2609" s="37"/>
      <c r="H2609" s="1"/>
      <c r="I2609" s="1"/>
      <c r="J2609" s="1"/>
      <c r="L2609" s="1"/>
      <c r="N2609" s="1"/>
      <c r="O2609" s="1"/>
      <c r="P2609" s="1"/>
      <c r="Q2609" s="1"/>
      <c r="T2609" s="1"/>
    </row>
    <row r="2610" spans="1:20" x14ac:dyDescent="0.35">
      <c r="A2610" s="37"/>
      <c r="H2610" s="1"/>
      <c r="I2610" s="1"/>
      <c r="J2610" s="1"/>
      <c r="L2610" s="1"/>
      <c r="O2610" s="1"/>
      <c r="P2610" s="1"/>
      <c r="Q2610" s="1"/>
      <c r="T2610" s="2"/>
    </row>
    <row r="2611" spans="1:20" x14ac:dyDescent="0.35">
      <c r="A2611" s="37"/>
      <c r="H2611" s="1"/>
      <c r="I2611" s="1"/>
      <c r="J2611" s="1"/>
      <c r="L2611" s="1"/>
      <c r="N2611" s="1"/>
      <c r="O2611" s="1"/>
      <c r="P2611" s="1"/>
      <c r="Q2611" s="1"/>
      <c r="T2611" s="1"/>
    </row>
    <row r="2612" spans="1:20" x14ac:dyDescent="0.35">
      <c r="A2612" s="37"/>
      <c r="H2612" s="1"/>
      <c r="I2612" s="1"/>
      <c r="J2612" s="1"/>
      <c r="L2612" s="1"/>
      <c r="N2612" s="1"/>
      <c r="O2612" s="1"/>
      <c r="P2612" s="1"/>
      <c r="Q2612" s="1"/>
      <c r="T2612" s="2"/>
    </row>
    <row r="2613" spans="1:20" x14ac:dyDescent="0.35">
      <c r="A2613" s="37"/>
      <c r="H2613" s="1"/>
      <c r="I2613" s="1"/>
      <c r="J2613" s="1"/>
      <c r="L2613" s="1"/>
      <c r="N2613" s="1"/>
      <c r="O2613" s="1"/>
      <c r="P2613" s="1"/>
      <c r="Q2613" s="1"/>
      <c r="T2613" s="2"/>
    </row>
    <row r="2614" spans="1:20" x14ac:dyDescent="0.35">
      <c r="A2614" s="37"/>
      <c r="H2614" s="1"/>
      <c r="I2614" s="1"/>
      <c r="J2614" s="1"/>
      <c r="L2614" s="1"/>
      <c r="N2614" s="1"/>
      <c r="O2614" s="1"/>
      <c r="P2614" s="1"/>
      <c r="Q2614" s="1"/>
      <c r="T2614" s="2"/>
    </row>
    <row r="2615" spans="1:20" x14ac:dyDescent="0.35">
      <c r="A2615" s="37"/>
      <c r="H2615" s="1"/>
      <c r="I2615" s="1"/>
      <c r="J2615" s="1"/>
      <c r="L2615" s="1"/>
      <c r="O2615" s="1"/>
      <c r="P2615" s="1"/>
      <c r="Q2615" s="1"/>
      <c r="T2615" s="2"/>
    </row>
    <row r="2616" spans="1:20" x14ac:dyDescent="0.35">
      <c r="A2616" s="37"/>
      <c r="H2616" s="1"/>
      <c r="I2616" s="1"/>
      <c r="J2616" s="1"/>
      <c r="L2616" s="1"/>
      <c r="N2616" s="1"/>
      <c r="O2616" s="1"/>
      <c r="P2616" s="1"/>
      <c r="Q2616" s="1"/>
      <c r="T2616" s="1"/>
    </row>
    <row r="2617" spans="1:20" x14ac:dyDescent="0.35">
      <c r="A2617" s="37"/>
      <c r="H2617" s="1"/>
      <c r="I2617" s="1"/>
      <c r="J2617" s="1"/>
      <c r="L2617" s="1"/>
      <c r="O2617" s="1"/>
      <c r="P2617" s="1"/>
      <c r="Q2617" s="1"/>
      <c r="T2617" s="2"/>
    </row>
    <row r="2618" spans="1:20" x14ac:dyDescent="0.35">
      <c r="A2618" s="37"/>
      <c r="H2618" s="1"/>
      <c r="I2618" s="1"/>
      <c r="J2618" s="1"/>
      <c r="L2618" s="1"/>
      <c r="O2618" s="1"/>
      <c r="P2618" s="1"/>
      <c r="Q2618" s="1"/>
      <c r="T2618" s="2"/>
    </row>
    <row r="2619" spans="1:20" x14ac:dyDescent="0.35">
      <c r="A2619" s="37"/>
      <c r="H2619" s="1"/>
      <c r="I2619" s="1"/>
      <c r="J2619" s="1"/>
      <c r="L2619" s="1"/>
      <c r="O2619" s="1"/>
      <c r="P2619" s="1"/>
      <c r="Q2619" s="1"/>
      <c r="T2619" s="2"/>
    </row>
    <row r="2620" spans="1:20" x14ac:dyDescent="0.35">
      <c r="A2620" s="37"/>
      <c r="H2620" s="1"/>
      <c r="I2620" s="1"/>
      <c r="J2620" s="1"/>
      <c r="L2620" s="1"/>
      <c r="O2620" s="1"/>
      <c r="P2620" s="1"/>
      <c r="Q2620" s="1"/>
      <c r="T2620" s="2"/>
    </row>
    <row r="2621" spans="1:20" x14ac:dyDescent="0.35">
      <c r="A2621" s="37"/>
      <c r="H2621" s="1"/>
      <c r="I2621" s="1"/>
      <c r="J2621" s="1"/>
      <c r="L2621" s="1"/>
      <c r="O2621" s="1"/>
      <c r="P2621" s="1"/>
      <c r="Q2621" s="1"/>
      <c r="T2621" s="2"/>
    </row>
    <row r="2622" spans="1:20" x14ac:dyDescent="0.35">
      <c r="A2622" s="37"/>
      <c r="H2622" s="1"/>
      <c r="I2622" s="1"/>
      <c r="J2622" s="1"/>
      <c r="L2622" s="1"/>
      <c r="O2622" s="1"/>
      <c r="P2622" s="1"/>
      <c r="Q2622" s="1"/>
      <c r="T2622" s="2"/>
    </row>
    <row r="2623" spans="1:20" x14ac:dyDescent="0.35">
      <c r="A2623" s="37"/>
      <c r="H2623" s="1"/>
      <c r="I2623" s="1"/>
      <c r="J2623" s="1"/>
      <c r="L2623" s="1"/>
      <c r="O2623" s="1"/>
      <c r="P2623" s="1"/>
      <c r="Q2623" s="1"/>
      <c r="T2623" s="2"/>
    </row>
    <row r="2624" spans="1:20" x14ac:dyDescent="0.35">
      <c r="A2624" s="37"/>
      <c r="H2624" s="1"/>
      <c r="I2624" s="1"/>
      <c r="J2624" s="1"/>
      <c r="L2624" s="1"/>
      <c r="O2624" s="1"/>
      <c r="P2624" s="1"/>
      <c r="Q2624" s="1"/>
      <c r="T2624" s="2"/>
    </row>
    <row r="2625" spans="1:20" x14ac:dyDescent="0.35">
      <c r="A2625" s="37"/>
      <c r="H2625" s="1"/>
      <c r="I2625" s="1"/>
      <c r="J2625" s="1"/>
      <c r="L2625" s="1"/>
      <c r="N2625" s="1"/>
      <c r="O2625" s="1"/>
      <c r="P2625" s="1"/>
      <c r="Q2625" s="1"/>
      <c r="T2625" s="1"/>
    </row>
    <row r="2626" spans="1:20" x14ac:dyDescent="0.35">
      <c r="A2626" s="37"/>
      <c r="H2626" s="1"/>
      <c r="I2626" s="1"/>
      <c r="J2626" s="1"/>
      <c r="L2626" s="1"/>
      <c r="O2626" s="1"/>
      <c r="P2626" s="1"/>
      <c r="Q2626" s="1"/>
      <c r="T2626" s="1"/>
    </row>
    <row r="2627" spans="1:20" x14ac:dyDescent="0.35">
      <c r="A2627" s="37"/>
      <c r="H2627" s="1"/>
      <c r="I2627" s="1"/>
      <c r="J2627" s="1"/>
      <c r="L2627" s="1"/>
      <c r="N2627" s="1"/>
      <c r="O2627" s="1"/>
      <c r="P2627" s="1"/>
      <c r="Q2627" s="1"/>
      <c r="T2627" s="2"/>
    </row>
    <row r="2628" spans="1:20" x14ac:dyDescent="0.35">
      <c r="A2628" s="37"/>
      <c r="H2628" s="1"/>
      <c r="I2628" s="1"/>
      <c r="J2628" s="1"/>
      <c r="L2628" s="1"/>
      <c r="N2628" s="1"/>
      <c r="O2628" s="1"/>
      <c r="P2628" s="1"/>
      <c r="Q2628" s="1"/>
      <c r="T2628" s="2"/>
    </row>
    <row r="2629" spans="1:20" x14ac:dyDescent="0.35">
      <c r="A2629" s="37"/>
      <c r="H2629" s="1"/>
      <c r="I2629" s="1"/>
      <c r="J2629" s="1"/>
      <c r="L2629" s="1"/>
      <c r="O2629" s="1"/>
      <c r="P2629" s="1"/>
      <c r="Q2629" s="1"/>
      <c r="T2629" s="2"/>
    </row>
    <row r="2630" spans="1:20" x14ac:dyDescent="0.35">
      <c r="A2630" s="37"/>
      <c r="H2630" s="1"/>
      <c r="I2630" s="1"/>
      <c r="J2630" s="1"/>
      <c r="L2630" s="1"/>
      <c r="O2630" s="1"/>
      <c r="P2630" s="1"/>
      <c r="Q2630" s="1"/>
      <c r="T2630" s="2"/>
    </row>
    <row r="2631" spans="1:20" x14ac:dyDescent="0.35">
      <c r="A2631" s="37"/>
      <c r="H2631" s="1"/>
      <c r="I2631" s="1"/>
      <c r="J2631" s="1"/>
      <c r="L2631" s="1"/>
      <c r="O2631" s="1"/>
      <c r="P2631" s="1"/>
      <c r="Q2631" s="1"/>
      <c r="T2631" s="2"/>
    </row>
    <row r="2632" spans="1:20" x14ac:dyDescent="0.35">
      <c r="A2632" s="37"/>
      <c r="H2632" s="1"/>
      <c r="I2632" s="1"/>
      <c r="J2632" s="1"/>
      <c r="L2632" s="1"/>
      <c r="O2632" s="1"/>
      <c r="P2632" s="1"/>
      <c r="Q2632" s="1"/>
      <c r="T2632" s="2"/>
    </row>
    <row r="2633" spans="1:20" x14ac:dyDescent="0.35">
      <c r="A2633" s="37"/>
      <c r="H2633" s="1"/>
      <c r="I2633" s="1"/>
      <c r="J2633" s="1"/>
      <c r="L2633" s="1"/>
      <c r="O2633" s="1"/>
      <c r="P2633" s="1"/>
      <c r="Q2633" s="1"/>
      <c r="T2633" s="2"/>
    </row>
    <row r="2634" spans="1:20" x14ac:dyDescent="0.35">
      <c r="A2634" s="37"/>
      <c r="H2634" s="1"/>
      <c r="I2634" s="1"/>
      <c r="J2634" s="1"/>
      <c r="L2634" s="1"/>
      <c r="O2634" s="1"/>
      <c r="P2634" s="1"/>
      <c r="Q2634" s="1"/>
      <c r="T2634" s="2"/>
    </row>
    <row r="2635" spans="1:20" x14ac:dyDescent="0.35">
      <c r="A2635" s="37"/>
      <c r="H2635" s="1"/>
      <c r="I2635" s="1"/>
      <c r="J2635" s="1"/>
      <c r="L2635" s="1"/>
      <c r="O2635" s="1"/>
      <c r="P2635" s="1"/>
      <c r="Q2635" s="1"/>
      <c r="T2635" s="2"/>
    </row>
    <row r="2636" spans="1:20" x14ac:dyDescent="0.35">
      <c r="A2636" s="37"/>
      <c r="H2636" s="1"/>
      <c r="I2636" s="1"/>
      <c r="J2636" s="1"/>
      <c r="L2636" s="1"/>
      <c r="O2636" s="1"/>
      <c r="P2636" s="1"/>
      <c r="Q2636" s="1"/>
      <c r="T2636" s="2"/>
    </row>
    <row r="2637" spans="1:20" x14ac:dyDescent="0.35">
      <c r="A2637" s="37"/>
      <c r="H2637" s="1"/>
      <c r="I2637" s="1"/>
      <c r="J2637" s="1"/>
      <c r="L2637" s="1"/>
      <c r="O2637" s="1"/>
      <c r="P2637" s="1"/>
      <c r="Q2637" s="1"/>
      <c r="T2637" s="2"/>
    </row>
    <row r="2638" spans="1:20" x14ac:dyDescent="0.35">
      <c r="A2638" s="37"/>
      <c r="H2638" s="1"/>
      <c r="I2638" s="1"/>
      <c r="J2638" s="1"/>
      <c r="L2638" s="1"/>
      <c r="O2638" s="1"/>
      <c r="P2638" s="1"/>
      <c r="Q2638" s="1"/>
      <c r="T2638" s="2"/>
    </row>
    <row r="2639" spans="1:20" x14ac:dyDescent="0.35">
      <c r="A2639" s="37"/>
      <c r="H2639" s="1"/>
      <c r="I2639" s="1"/>
      <c r="J2639" s="1"/>
      <c r="L2639" s="1"/>
      <c r="O2639" s="1"/>
      <c r="P2639" s="1"/>
      <c r="Q2639" s="1"/>
      <c r="T2639" s="2"/>
    </row>
    <row r="2640" spans="1:20" x14ac:dyDescent="0.35">
      <c r="A2640" s="37"/>
      <c r="H2640" s="1"/>
      <c r="I2640" s="1"/>
      <c r="J2640" s="1"/>
      <c r="L2640" s="1"/>
      <c r="O2640" s="1"/>
      <c r="P2640" s="1"/>
      <c r="Q2640" s="1"/>
      <c r="T2640" s="2"/>
    </row>
    <row r="2641" spans="1:20" x14ac:dyDescent="0.35">
      <c r="A2641" s="37"/>
      <c r="H2641" s="1"/>
      <c r="I2641" s="1"/>
      <c r="J2641" s="1"/>
      <c r="L2641" s="1"/>
      <c r="O2641" s="1"/>
      <c r="P2641" s="1"/>
      <c r="Q2641" s="1"/>
      <c r="T2641" s="2"/>
    </row>
    <row r="2642" spans="1:20" x14ac:dyDescent="0.35">
      <c r="A2642" s="37"/>
      <c r="H2642" s="1"/>
      <c r="I2642" s="1"/>
      <c r="J2642" s="1"/>
      <c r="L2642" s="1"/>
      <c r="N2642" s="1"/>
      <c r="O2642" s="1"/>
      <c r="P2642" s="1"/>
      <c r="Q2642" s="1"/>
      <c r="T2642" s="2"/>
    </row>
    <row r="2643" spans="1:20" x14ac:dyDescent="0.35">
      <c r="A2643" s="37"/>
      <c r="H2643" s="1"/>
      <c r="I2643" s="1"/>
      <c r="J2643" s="1"/>
      <c r="L2643" s="1"/>
      <c r="N2643" s="1"/>
      <c r="O2643" s="1"/>
      <c r="P2643" s="1"/>
      <c r="Q2643" s="1"/>
      <c r="T2643" s="1"/>
    </row>
    <row r="2644" spans="1:20" x14ac:dyDescent="0.35">
      <c r="A2644" s="37"/>
      <c r="H2644" s="1"/>
      <c r="I2644" s="1"/>
      <c r="J2644" s="1"/>
      <c r="L2644" s="1"/>
      <c r="N2644" s="1"/>
      <c r="O2644" s="1"/>
      <c r="P2644" s="1"/>
      <c r="Q2644" s="1"/>
      <c r="T2644" s="1"/>
    </row>
    <row r="2645" spans="1:20" x14ac:dyDescent="0.35">
      <c r="A2645" s="37"/>
      <c r="H2645" s="1"/>
      <c r="I2645" s="1"/>
      <c r="J2645" s="1"/>
      <c r="L2645" s="1"/>
      <c r="N2645" s="1"/>
      <c r="O2645" s="1"/>
      <c r="P2645" s="1"/>
      <c r="Q2645" s="1"/>
      <c r="T2645" s="2"/>
    </row>
    <row r="2646" spans="1:20" x14ac:dyDescent="0.35">
      <c r="A2646" s="37"/>
      <c r="H2646" s="1"/>
      <c r="I2646" s="1"/>
      <c r="J2646" s="1"/>
      <c r="L2646" s="1"/>
      <c r="O2646" s="1"/>
      <c r="P2646" s="1"/>
      <c r="Q2646" s="1"/>
      <c r="T2646" s="2"/>
    </row>
    <row r="2647" spans="1:20" x14ac:dyDescent="0.35">
      <c r="A2647" s="37"/>
      <c r="H2647" s="1"/>
      <c r="I2647" s="1"/>
      <c r="J2647" s="1"/>
      <c r="L2647" s="1"/>
      <c r="N2647" s="1"/>
      <c r="O2647" s="1"/>
      <c r="P2647" s="1"/>
      <c r="Q2647" s="1"/>
      <c r="T2647" s="1"/>
    </row>
    <row r="2648" spans="1:20" x14ac:dyDescent="0.35">
      <c r="A2648" s="37"/>
      <c r="H2648" s="1"/>
      <c r="I2648" s="1"/>
      <c r="J2648" s="1"/>
      <c r="L2648" s="1"/>
      <c r="M2648" s="39"/>
      <c r="N2648" s="1"/>
      <c r="O2648" s="1"/>
      <c r="P2648" s="1"/>
      <c r="Q2648" s="1"/>
      <c r="T2648" s="2"/>
    </row>
    <row r="2649" spans="1:20" x14ac:dyDescent="0.35">
      <c r="A2649" s="37"/>
      <c r="H2649" s="1"/>
      <c r="I2649" s="1"/>
      <c r="J2649" s="1"/>
      <c r="L2649" s="1"/>
      <c r="N2649" s="1"/>
      <c r="O2649" s="1"/>
      <c r="P2649" s="1"/>
      <c r="Q2649" s="1"/>
      <c r="T2649" s="2"/>
    </row>
    <row r="2650" spans="1:20" x14ac:dyDescent="0.35">
      <c r="A2650" s="37"/>
      <c r="H2650" s="1"/>
      <c r="I2650" s="1"/>
      <c r="J2650" s="1"/>
      <c r="L2650" s="1"/>
      <c r="N2650" s="1"/>
      <c r="O2650" s="1"/>
      <c r="P2650" s="1"/>
      <c r="Q2650" s="1"/>
      <c r="T2650" s="1"/>
    </row>
    <row r="2651" spans="1:20" x14ac:dyDescent="0.35">
      <c r="A2651" s="37"/>
      <c r="H2651" s="1"/>
      <c r="I2651" s="1"/>
      <c r="J2651" s="1"/>
      <c r="L2651" s="1"/>
      <c r="N2651" s="1"/>
      <c r="O2651" s="1"/>
      <c r="P2651" s="1"/>
      <c r="Q2651" s="1"/>
      <c r="T2651" s="1"/>
    </row>
    <row r="2652" spans="1:20" x14ac:dyDescent="0.35">
      <c r="A2652" s="37"/>
      <c r="H2652" s="1"/>
      <c r="I2652" s="1"/>
      <c r="J2652" s="1"/>
      <c r="L2652" s="1"/>
      <c r="N2652" s="1"/>
      <c r="O2652" s="1"/>
      <c r="P2652" s="1"/>
      <c r="Q2652" s="1"/>
      <c r="T2652" s="2"/>
    </row>
    <row r="2653" spans="1:20" x14ac:dyDescent="0.35">
      <c r="A2653" s="37"/>
      <c r="H2653" s="1"/>
      <c r="I2653" s="1"/>
      <c r="J2653" s="1"/>
      <c r="L2653" s="1"/>
      <c r="N2653" s="1"/>
      <c r="O2653" s="1"/>
      <c r="P2653" s="1"/>
      <c r="Q2653" s="1"/>
      <c r="T2653" s="2"/>
    </row>
    <row r="2654" spans="1:20" x14ac:dyDescent="0.35">
      <c r="A2654" s="37"/>
      <c r="H2654" s="1"/>
      <c r="I2654" s="1"/>
      <c r="J2654" s="1"/>
      <c r="L2654" s="1"/>
      <c r="O2654" s="1"/>
      <c r="P2654" s="1"/>
      <c r="Q2654" s="1"/>
      <c r="T2654" s="2"/>
    </row>
    <row r="2655" spans="1:20" x14ac:dyDescent="0.35">
      <c r="A2655" s="37"/>
      <c r="H2655" s="1"/>
      <c r="I2655" s="1"/>
      <c r="J2655" s="1"/>
      <c r="L2655" s="1"/>
      <c r="O2655" s="1"/>
      <c r="P2655" s="1"/>
      <c r="Q2655" s="1"/>
      <c r="T2655" s="2"/>
    </row>
    <row r="2656" spans="1:20" x14ac:dyDescent="0.35">
      <c r="A2656" s="37"/>
      <c r="H2656" s="1"/>
      <c r="I2656" s="1"/>
      <c r="J2656" s="1"/>
      <c r="L2656" s="1"/>
      <c r="O2656" s="1"/>
      <c r="P2656" s="1"/>
      <c r="Q2656" s="1"/>
      <c r="T2656" s="2"/>
    </row>
    <row r="2657" spans="1:20" x14ac:dyDescent="0.35">
      <c r="A2657" s="37"/>
      <c r="H2657" s="1"/>
      <c r="I2657" s="1"/>
      <c r="J2657" s="1"/>
      <c r="L2657" s="1"/>
      <c r="M2657" s="39"/>
      <c r="O2657" s="1"/>
      <c r="P2657" s="1"/>
      <c r="Q2657" s="1"/>
      <c r="T2657" s="2"/>
    </row>
    <row r="2658" spans="1:20" x14ac:dyDescent="0.35">
      <c r="A2658" s="37"/>
      <c r="H2658" s="1"/>
      <c r="I2658" s="1"/>
      <c r="J2658" s="1"/>
      <c r="L2658" s="1"/>
      <c r="M2658" s="39"/>
      <c r="O2658" s="1"/>
      <c r="P2658" s="1"/>
      <c r="Q2658" s="1"/>
      <c r="T2658" s="2"/>
    </row>
    <row r="2659" spans="1:20" x14ac:dyDescent="0.35">
      <c r="A2659" s="37"/>
      <c r="H2659" s="1"/>
      <c r="I2659" s="1"/>
      <c r="J2659" s="1"/>
      <c r="L2659" s="1"/>
      <c r="M2659" s="39"/>
      <c r="O2659" s="1"/>
      <c r="P2659" s="1"/>
      <c r="Q2659" s="1"/>
      <c r="T2659" s="2"/>
    </row>
    <row r="2660" spans="1:20" x14ac:dyDescent="0.35">
      <c r="A2660" s="37"/>
      <c r="H2660" s="1"/>
      <c r="I2660" s="1"/>
      <c r="J2660" s="1"/>
      <c r="L2660" s="1"/>
      <c r="M2660" s="39"/>
      <c r="O2660" s="1"/>
      <c r="P2660" s="1"/>
      <c r="Q2660" s="1"/>
      <c r="T2660" s="2"/>
    </row>
    <row r="2661" spans="1:20" x14ac:dyDescent="0.35">
      <c r="A2661" s="37"/>
      <c r="H2661" s="1"/>
      <c r="I2661" s="1"/>
      <c r="J2661" s="1"/>
      <c r="L2661" s="1"/>
      <c r="M2661" s="39"/>
      <c r="N2661" s="1"/>
      <c r="O2661" s="1"/>
      <c r="P2661" s="1"/>
      <c r="Q2661" s="1"/>
      <c r="T2661" s="2"/>
    </row>
    <row r="2662" spans="1:20" x14ac:dyDescent="0.35">
      <c r="A2662" s="37"/>
      <c r="H2662" s="1"/>
      <c r="I2662" s="1"/>
      <c r="J2662" s="1"/>
      <c r="L2662" s="1"/>
      <c r="N2662" s="1"/>
      <c r="O2662" s="1"/>
      <c r="P2662" s="1"/>
      <c r="Q2662" s="1"/>
      <c r="T2662" s="1"/>
    </row>
    <row r="2663" spans="1:20" x14ac:dyDescent="0.35">
      <c r="A2663" s="37"/>
      <c r="H2663" s="1"/>
      <c r="I2663" s="1"/>
      <c r="J2663" s="1"/>
      <c r="L2663" s="1"/>
      <c r="N2663" s="1"/>
      <c r="O2663" s="1"/>
      <c r="P2663" s="1"/>
      <c r="Q2663" s="1"/>
      <c r="T2663" s="1"/>
    </row>
    <row r="2664" spans="1:20" x14ac:dyDescent="0.35">
      <c r="A2664" s="37"/>
      <c r="H2664" s="1"/>
      <c r="I2664" s="1"/>
      <c r="J2664" s="1"/>
      <c r="L2664" s="1"/>
      <c r="N2664" s="1"/>
      <c r="O2664" s="1"/>
      <c r="P2664" s="1"/>
      <c r="Q2664" s="1"/>
      <c r="T2664" s="1"/>
    </row>
    <row r="2665" spans="1:20" x14ac:dyDescent="0.35">
      <c r="A2665" s="37"/>
      <c r="H2665" s="1"/>
      <c r="I2665" s="1"/>
      <c r="J2665" s="1"/>
      <c r="L2665" s="1"/>
      <c r="N2665" s="1"/>
      <c r="O2665" s="1"/>
      <c r="P2665" s="1"/>
      <c r="Q2665" s="1"/>
      <c r="T2665" s="1"/>
    </row>
    <row r="2666" spans="1:20" x14ac:dyDescent="0.35">
      <c r="A2666" s="37"/>
      <c r="H2666" s="1"/>
      <c r="I2666" s="1"/>
      <c r="J2666" s="1"/>
      <c r="L2666" s="1"/>
      <c r="O2666" s="1"/>
      <c r="P2666" s="1"/>
      <c r="Q2666" s="1"/>
      <c r="T2666" s="2"/>
    </row>
    <row r="2667" spans="1:20" x14ac:dyDescent="0.35">
      <c r="A2667" s="37"/>
      <c r="H2667" s="1"/>
      <c r="I2667" s="1"/>
      <c r="J2667" s="1"/>
      <c r="L2667" s="1"/>
      <c r="O2667" s="1"/>
      <c r="P2667" s="1"/>
      <c r="Q2667" s="1"/>
      <c r="T2667" s="2"/>
    </row>
    <row r="2668" spans="1:20" x14ac:dyDescent="0.35">
      <c r="A2668" s="37"/>
      <c r="H2668" s="1"/>
      <c r="I2668" s="1"/>
      <c r="J2668" s="1"/>
      <c r="L2668" s="1"/>
      <c r="O2668" s="1"/>
      <c r="P2668" s="1"/>
      <c r="Q2668" s="1"/>
      <c r="T2668" s="2"/>
    </row>
    <row r="2669" spans="1:20" x14ac:dyDescent="0.35">
      <c r="A2669" s="37"/>
      <c r="H2669" s="1"/>
      <c r="I2669" s="1"/>
      <c r="J2669" s="1"/>
      <c r="L2669" s="1"/>
      <c r="O2669" s="1"/>
      <c r="P2669" s="1"/>
      <c r="Q2669" s="1"/>
      <c r="T2669" s="2"/>
    </row>
    <row r="2670" spans="1:20" x14ac:dyDescent="0.35">
      <c r="A2670" s="37"/>
      <c r="H2670" s="1"/>
      <c r="I2670" s="1"/>
      <c r="J2670" s="1"/>
      <c r="L2670" s="1"/>
      <c r="O2670" s="1"/>
      <c r="P2670" s="1"/>
      <c r="Q2670" s="1"/>
      <c r="T2670" s="2"/>
    </row>
    <row r="2671" spans="1:20" x14ac:dyDescent="0.35">
      <c r="A2671" s="37"/>
      <c r="H2671" s="1"/>
      <c r="I2671" s="1"/>
      <c r="J2671" s="1"/>
      <c r="L2671" s="1"/>
      <c r="O2671" s="1"/>
      <c r="P2671" s="1"/>
      <c r="Q2671" s="1"/>
      <c r="T2671" s="2"/>
    </row>
    <row r="2672" spans="1:20" x14ac:dyDescent="0.35">
      <c r="A2672" s="37"/>
      <c r="H2672" s="1"/>
      <c r="I2672" s="1"/>
      <c r="J2672" s="1"/>
      <c r="L2672" s="1"/>
      <c r="O2672" s="1"/>
      <c r="P2672" s="1"/>
      <c r="Q2672" s="1"/>
      <c r="T2672" s="2"/>
    </row>
    <row r="2673" spans="1:20" x14ac:dyDescent="0.35">
      <c r="A2673" s="37"/>
      <c r="H2673" s="1"/>
      <c r="I2673" s="1"/>
      <c r="J2673" s="1"/>
      <c r="L2673" s="1"/>
      <c r="O2673" s="1"/>
      <c r="P2673" s="1"/>
      <c r="Q2673" s="1"/>
      <c r="T2673" s="2"/>
    </row>
    <row r="2674" spans="1:20" x14ac:dyDescent="0.35">
      <c r="A2674" s="37"/>
      <c r="H2674" s="1"/>
      <c r="I2674" s="1"/>
      <c r="J2674" s="1"/>
      <c r="L2674" s="1"/>
      <c r="O2674" s="1"/>
      <c r="P2674" s="1"/>
      <c r="Q2674" s="1"/>
      <c r="T2674" s="2"/>
    </row>
    <row r="2675" spans="1:20" x14ac:dyDescent="0.35">
      <c r="A2675" s="37"/>
      <c r="H2675" s="1"/>
      <c r="I2675" s="1"/>
      <c r="J2675" s="1"/>
      <c r="L2675" s="1"/>
      <c r="O2675" s="1"/>
      <c r="P2675" s="1"/>
      <c r="Q2675" s="1"/>
      <c r="T2675" s="2"/>
    </row>
    <row r="2676" spans="1:20" x14ac:dyDescent="0.35">
      <c r="A2676" s="37"/>
      <c r="H2676" s="1"/>
      <c r="I2676" s="1"/>
      <c r="J2676" s="1"/>
      <c r="L2676" s="1"/>
      <c r="O2676" s="1"/>
      <c r="P2676" s="1"/>
      <c r="Q2676" s="1"/>
      <c r="T2676" s="2"/>
    </row>
    <row r="2677" spans="1:20" x14ac:dyDescent="0.35">
      <c r="A2677" s="37"/>
      <c r="H2677" s="1"/>
      <c r="I2677" s="1"/>
      <c r="J2677" s="1"/>
      <c r="L2677" s="1"/>
      <c r="O2677" s="1"/>
      <c r="P2677" s="1"/>
      <c r="Q2677" s="1"/>
      <c r="T2677" s="2"/>
    </row>
    <row r="2678" spans="1:20" x14ac:dyDescent="0.35">
      <c r="A2678" s="37"/>
      <c r="H2678" s="1"/>
      <c r="I2678" s="1"/>
      <c r="J2678" s="1"/>
      <c r="L2678" s="1"/>
      <c r="O2678" s="1"/>
      <c r="P2678" s="1"/>
      <c r="Q2678" s="1"/>
      <c r="T2678" s="2"/>
    </row>
    <row r="2679" spans="1:20" x14ac:dyDescent="0.35">
      <c r="A2679" s="37"/>
      <c r="H2679" s="1"/>
      <c r="I2679" s="1"/>
      <c r="J2679" s="1"/>
      <c r="L2679" s="1"/>
      <c r="O2679" s="1"/>
      <c r="P2679" s="1"/>
      <c r="Q2679" s="1"/>
      <c r="T2679" s="2"/>
    </row>
    <row r="2680" spans="1:20" x14ac:dyDescent="0.35">
      <c r="A2680" s="37"/>
      <c r="H2680" s="1"/>
      <c r="I2680" s="1"/>
      <c r="J2680" s="1"/>
      <c r="L2680" s="1"/>
      <c r="O2680" s="1"/>
      <c r="P2680" s="1"/>
      <c r="Q2680" s="1"/>
      <c r="T2680" s="2"/>
    </row>
    <row r="2681" spans="1:20" x14ac:dyDescent="0.35">
      <c r="A2681" s="37"/>
      <c r="H2681" s="1"/>
      <c r="I2681" s="1"/>
      <c r="J2681" s="1"/>
      <c r="L2681" s="1"/>
      <c r="M2681" s="38"/>
      <c r="O2681" s="1"/>
      <c r="P2681" s="1"/>
      <c r="Q2681" s="1"/>
      <c r="T2681" s="2"/>
    </row>
    <row r="2682" spans="1:20" x14ac:dyDescent="0.35">
      <c r="A2682" s="37"/>
      <c r="H2682" s="1"/>
      <c r="I2682" s="1"/>
      <c r="J2682" s="1"/>
      <c r="L2682" s="1"/>
      <c r="M2682" s="38"/>
      <c r="O2682" s="1"/>
      <c r="P2682" s="1"/>
      <c r="Q2682" s="1"/>
      <c r="T2682" s="2"/>
    </row>
    <row r="2683" spans="1:20" x14ac:dyDescent="0.35">
      <c r="A2683" s="37"/>
      <c r="H2683" s="1"/>
      <c r="I2683" s="1"/>
      <c r="J2683" s="1"/>
      <c r="L2683" s="1"/>
      <c r="M2683" s="38"/>
      <c r="O2683" s="1"/>
      <c r="P2683" s="1"/>
      <c r="Q2683" s="1"/>
      <c r="T2683" s="2"/>
    </row>
    <row r="2684" spans="1:20" x14ac:dyDescent="0.35">
      <c r="A2684" s="37"/>
      <c r="H2684" s="1"/>
      <c r="I2684" s="1"/>
      <c r="J2684" s="1"/>
      <c r="L2684" s="1"/>
      <c r="M2684" s="38"/>
      <c r="O2684" s="1"/>
      <c r="P2684" s="1"/>
      <c r="Q2684" s="1"/>
      <c r="T2684" s="2"/>
    </row>
    <row r="2685" spans="1:20" x14ac:dyDescent="0.35">
      <c r="A2685" s="37"/>
      <c r="H2685" s="1"/>
      <c r="I2685" s="1"/>
      <c r="J2685" s="1"/>
      <c r="L2685" s="1"/>
      <c r="M2685" s="38"/>
      <c r="O2685" s="1"/>
      <c r="P2685" s="1"/>
      <c r="Q2685" s="1"/>
      <c r="T2685" s="2"/>
    </row>
    <row r="2686" spans="1:20" x14ac:dyDescent="0.35">
      <c r="A2686" s="37"/>
      <c r="H2686" s="1"/>
      <c r="I2686" s="1"/>
      <c r="J2686" s="1"/>
      <c r="L2686" s="1"/>
      <c r="M2686" s="39"/>
      <c r="O2686" s="1"/>
      <c r="P2686" s="1"/>
      <c r="Q2686" s="1"/>
      <c r="T2686" s="2"/>
    </row>
    <row r="2687" spans="1:20" x14ac:dyDescent="0.35">
      <c r="A2687" s="37"/>
      <c r="H2687" s="1"/>
      <c r="I2687" s="1"/>
      <c r="J2687" s="1"/>
      <c r="L2687" s="1"/>
      <c r="M2687" s="39"/>
      <c r="O2687" s="1"/>
      <c r="P2687" s="1"/>
      <c r="Q2687" s="1"/>
      <c r="T2687" s="2"/>
    </row>
    <row r="2688" spans="1:20" x14ac:dyDescent="0.35">
      <c r="A2688" s="37"/>
      <c r="H2688" s="1"/>
      <c r="I2688" s="1"/>
      <c r="J2688" s="1"/>
      <c r="L2688" s="1"/>
      <c r="M2688" s="39"/>
      <c r="O2688" s="1"/>
      <c r="P2688" s="1"/>
      <c r="Q2688" s="1"/>
      <c r="T2688" s="2"/>
    </row>
    <row r="2689" spans="1:20" x14ac:dyDescent="0.35">
      <c r="A2689" s="37"/>
      <c r="H2689" s="1"/>
      <c r="I2689" s="1"/>
      <c r="J2689" s="1"/>
      <c r="L2689" s="1"/>
      <c r="M2689" s="39"/>
      <c r="O2689" s="1"/>
      <c r="P2689" s="1"/>
      <c r="Q2689" s="1"/>
      <c r="T2689" s="2"/>
    </row>
    <row r="2690" spans="1:20" x14ac:dyDescent="0.35">
      <c r="A2690" s="37"/>
      <c r="H2690" s="1"/>
      <c r="I2690" s="1"/>
      <c r="J2690" s="1"/>
      <c r="L2690" s="1"/>
      <c r="M2690" s="39"/>
      <c r="O2690" s="1"/>
      <c r="P2690" s="1"/>
      <c r="Q2690" s="1"/>
      <c r="T2690" s="2"/>
    </row>
    <row r="2691" spans="1:20" x14ac:dyDescent="0.35">
      <c r="A2691" s="37"/>
      <c r="H2691" s="1"/>
      <c r="I2691" s="1"/>
      <c r="J2691" s="1"/>
      <c r="L2691" s="1"/>
      <c r="O2691" s="1"/>
      <c r="P2691" s="1"/>
      <c r="Q2691" s="1"/>
      <c r="T2691" s="2"/>
    </row>
    <row r="2692" spans="1:20" x14ac:dyDescent="0.35">
      <c r="A2692" s="37"/>
      <c r="H2692" s="1"/>
      <c r="I2692" s="1"/>
      <c r="J2692" s="1"/>
      <c r="L2692" s="1"/>
      <c r="O2692" s="1"/>
      <c r="P2692" s="1"/>
      <c r="Q2692" s="1"/>
      <c r="T2692" s="2"/>
    </row>
    <row r="2693" spans="1:20" x14ac:dyDescent="0.35">
      <c r="A2693" s="37"/>
      <c r="H2693" s="1"/>
      <c r="I2693" s="1"/>
      <c r="J2693" s="1"/>
      <c r="L2693" s="1"/>
      <c r="O2693" s="1"/>
      <c r="P2693" s="1"/>
      <c r="Q2693" s="1"/>
      <c r="T2693" s="2"/>
    </row>
    <row r="2694" spans="1:20" x14ac:dyDescent="0.35">
      <c r="A2694" s="37"/>
      <c r="H2694" s="1"/>
      <c r="I2694" s="1"/>
      <c r="J2694" s="1"/>
      <c r="L2694" s="1"/>
      <c r="N2694" s="1"/>
      <c r="O2694" s="1"/>
      <c r="P2694" s="1"/>
      <c r="Q2694" s="1"/>
      <c r="T2694" s="1"/>
    </row>
    <row r="2695" spans="1:20" x14ac:dyDescent="0.35">
      <c r="A2695" s="37"/>
      <c r="H2695" s="1"/>
      <c r="I2695" s="1"/>
      <c r="J2695" s="1"/>
      <c r="L2695" s="1"/>
      <c r="O2695" s="1"/>
      <c r="P2695" s="1"/>
      <c r="Q2695" s="1"/>
      <c r="T2695" s="2"/>
    </row>
    <row r="2696" spans="1:20" x14ac:dyDescent="0.35">
      <c r="A2696" s="37"/>
      <c r="H2696" s="1"/>
      <c r="I2696" s="1"/>
      <c r="J2696" s="1"/>
      <c r="L2696" s="1"/>
      <c r="M2696" s="39"/>
      <c r="N2696" s="1"/>
      <c r="O2696" s="1"/>
      <c r="P2696" s="1"/>
      <c r="Q2696" s="1"/>
      <c r="T2696" s="2"/>
    </row>
    <row r="2697" spans="1:20" x14ac:dyDescent="0.35">
      <c r="A2697" s="37"/>
      <c r="H2697" s="1"/>
      <c r="I2697" s="1"/>
      <c r="J2697" s="1"/>
      <c r="L2697" s="1"/>
      <c r="N2697" s="1"/>
      <c r="O2697" s="1"/>
      <c r="P2697" s="1"/>
      <c r="Q2697" s="1"/>
      <c r="T2697" s="2"/>
    </row>
    <row r="2698" spans="1:20" x14ac:dyDescent="0.35">
      <c r="A2698" s="37"/>
      <c r="H2698" s="1"/>
      <c r="I2698" s="1"/>
      <c r="J2698" s="1"/>
      <c r="L2698" s="1"/>
      <c r="N2698" s="1"/>
      <c r="O2698" s="1"/>
      <c r="P2698" s="1"/>
      <c r="Q2698" s="1"/>
      <c r="T2698" s="2"/>
    </row>
    <row r="2699" spans="1:20" x14ac:dyDescent="0.35">
      <c r="A2699" s="37"/>
      <c r="H2699" s="1"/>
      <c r="I2699" s="1"/>
      <c r="J2699" s="1"/>
      <c r="L2699" s="1"/>
      <c r="N2699" s="1"/>
      <c r="O2699" s="1"/>
      <c r="P2699" s="1"/>
      <c r="Q2699" s="1"/>
      <c r="T2699" s="1"/>
    </row>
    <row r="2700" spans="1:20" x14ac:dyDescent="0.35">
      <c r="A2700" s="37"/>
      <c r="H2700" s="1"/>
      <c r="I2700" s="1"/>
      <c r="J2700" s="1"/>
      <c r="L2700" s="1"/>
      <c r="N2700" s="1"/>
      <c r="O2700" s="1"/>
      <c r="P2700" s="1"/>
      <c r="Q2700" s="1"/>
      <c r="T2700" s="2"/>
    </row>
    <row r="2701" spans="1:20" x14ac:dyDescent="0.35">
      <c r="A2701" s="37"/>
      <c r="H2701" s="1"/>
      <c r="I2701" s="1"/>
      <c r="J2701" s="1"/>
      <c r="L2701" s="1"/>
      <c r="M2701" s="39"/>
      <c r="N2701" s="1"/>
      <c r="O2701" s="1"/>
      <c r="P2701" s="1"/>
      <c r="Q2701" s="1"/>
      <c r="T2701" s="2"/>
    </row>
    <row r="2702" spans="1:20" x14ac:dyDescent="0.35">
      <c r="A2702" s="37"/>
      <c r="H2702" s="1"/>
      <c r="I2702" s="1"/>
      <c r="J2702" s="1"/>
      <c r="L2702" s="1"/>
      <c r="N2702" s="1"/>
      <c r="O2702" s="1"/>
      <c r="P2702" s="1"/>
      <c r="Q2702" s="1"/>
      <c r="T2702" s="2"/>
    </row>
    <row r="2703" spans="1:20" x14ac:dyDescent="0.35">
      <c r="A2703" s="37"/>
      <c r="H2703" s="1"/>
      <c r="I2703" s="1"/>
      <c r="J2703" s="1"/>
      <c r="L2703" s="1"/>
      <c r="O2703" s="1"/>
      <c r="P2703" s="1"/>
      <c r="Q2703" s="1"/>
      <c r="T2703" s="1"/>
    </row>
    <row r="2704" spans="1:20" x14ac:dyDescent="0.35">
      <c r="A2704" s="37"/>
      <c r="H2704" s="1"/>
      <c r="I2704" s="1"/>
      <c r="J2704" s="1"/>
      <c r="L2704" s="1"/>
      <c r="O2704" s="1"/>
      <c r="P2704" s="1"/>
      <c r="Q2704" s="1"/>
      <c r="T2704" s="2"/>
    </row>
    <row r="2705" spans="1:20" x14ac:dyDescent="0.35">
      <c r="A2705" s="37"/>
      <c r="H2705" s="1"/>
      <c r="I2705" s="1"/>
      <c r="J2705" s="1"/>
      <c r="L2705" s="1"/>
      <c r="O2705" s="1"/>
      <c r="P2705" s="1"/>
      <c r="Q2705" s="1"/>
      <c r="T2705" s="2"/>
    </row>
    <row r="2706" spans="1:20" x14ac:dyDescent="0.35">
      <c r="A2706" s="37"/>
      <c r="H2706" s="1"/>
      <c r="I2706" s="1"/>
      <c r="J2706" s="1"/>
      <c r="L2706" s="1"/>
      <c r="O2706" s="1"/>
      <c r="P2706" s="1"/>
      <c r="Q2706" s="1"/>
      <c r="T2706" s="1"/>
    </row>
    <row r="2707" spans="1:20" x14ac:dyDescent="0.35">
      <c r="A2707" s="37"/>
      <c r="H2707" s="1"/>
      <c r="I2707" s="1"/>
      <c r="J2707" s="1"/>
      <c r="L2707" s="1"/>
      <c r="O2707" s="1"/>
      <c r="P2707" s="1"/>
      <c r="Q2707" s="1"/>
      <c r="T2707" s="1"/>
    </row>
    <row r="2708" spans="1:20" x14ac:dyDescent="0.35">
      <c r="A2708" s="37"/>
      <c r="H2708" s="1"/>
      <c r="I2708" s="1"/>
      <c r="J2708" s="1"/>
      <c r="L2708" s="1"/>
      <c r="O2708" s="1"/>
      <c r="P2708" s="1"/>
      <c r="Q2708" s="1"/>
      <c r="T2708" s="1"/>
    </row>
    <row r="2709" spans="1:20" x14ac:dyDescent="0.35">
      <c r="A2709" s="37"/>
      <c r="H2709" s="1"/>
      <c r="I2709" s="1"/>
      <c r="J2709" s="1"/>
      <c r="L2709" s="1"/>
      <c r="O2709" s="1"/>
      <c r="P2709" s="1"/>
      <c r="Q2709" s="1"/>
      <c r="T2709" s="2"/>
    </row>
    <row r="2710" spans="1:20" x14ac:dyDescent="0.35">
      <c r="A2710" s="37"/>
      <c r="H2710" s="1"/>
      <c r="I2710" s="1"/>
      <c r="J2710" s="1"/>
      <c r="L2710" s="1"/>
      <c r="N2710" s="1"/>
      <c r="O2710" s="1"/>
      <c r="P2710" s="1"/>
      <c r="Q2710" s="1"/>
      <c r="T2710" s="1"/>
    </row>
    <row r="2711" spans="1:20" x14ac:dyDescent="0.35">
      <c r="A2711" s="37"/>
      <c r="H2711" s="1"/>
      <c r="I2711" s="1"/>
      <c r="J2711" s="1"/>
      <c r="L2711" s="1"/>
      <c r="N2711" s="1"/>
      <c r="O2711" s="1"/>
      <c r="P2711" s="1"/>
      <c r="Q2711" s="1"/>
      <c r="T2711" s="1"/>
    </row>
    <row r="2712" spans="1:20" x14ac:dyDescent="0.35">
      <c r="A2712" s="37"/>
      <c r="H2712" s="1"/>
      <c r="I2712" s="1"/>
      <c r="J2712" s="1"/>
      <c r="L2712" s="1"/>
      <c r="N2712" s="1"/>
      <c r="O2712" s="1"/>
      <c r="P2712" s="1"/>
      <c r="Q2712" s="1"/>
      <c r="T2712" s="1"/>
    </row>
    <row r="2713" spans="1:20" x14ac:dyDescent="0.35">
      <c r="A2713" s="37"/>
      <c r="H2713" s="1"/>
      <c r="I2713" s="1"/>
      <c r="J2713" s="1"/>
      <c r="L2713" s="1"/>
      <c r="N2713" s="1"/>
      <c r="O2713" s="1"/>
      <c r="P2713" s="1"/>
      <c r="Q2713" s="1"/>
      <c r="T2713" s="1"/>
    </row>
    <row r="2714" spans="1:20" x14ac:dyDescent="0.35">
      <c r="A2714" s="37"/>
      <c r="H2714" s="1"/>
      <c r="I2714" s="1"/>
      <c r="J2714" s="1"/>
      <c r="L2714" s="1"/>
      <c r="O2714" s="1"/>
      <c r="P2714" s="1"/>
      <c r="Q2714" s="1"/>
      <c r="T2714" s="2"/>
    </row>
    <row r="2715" spans="1:20" x14ac:dyDescent="0.35">
      <c r="A2715" s="37"/>
      <c r="H2715" s="1"/>
      <c r="I2715" s="1"/>
      <c r="J2715" s="1"/>
      <c r="L2715" s="1"/>
      <c r="N2715" s="1"/>
      <c r="O2715" s="1"/>
      <c r="P2715" s="1"/>
      <c r="Q2715" s="1"/>
      <c r="T2715" s="1"/>
    </row>
    <row r="2716" spans="1:20" x14ac:dyDescent="0.35">
      <c r="A2716" s="37"/>
      <c r="H2716" s="1"/>
      <c r="I2716" s="1"/>
      <c r="J2716" s="1"/>
      <c r="L2716" s="1"/>
      <c r="O2716" s="1"/>
      <c r="P2716" s="1"/>
      <c r="Q2716" s="1"/>
      <c r="T2716" s="2"/>
    </row>
    <row r="2717" spans="1:20" x14ac:dyDescent="0.35">
      <c r="A2717" s="37"/>
      <c r="H2717" s="1"/>
      <c r="I2717" s="1"/>
      <c r="J2717" s="1"/>
      <c r="L2717" s="1"/>
      <c r="N2717" s="1"/>
      <c r="O2717" s="1"/>
      <c r="P2717" s="1"/>
      <c r="Q2717" s="1"/>
      <c r="T2717" s="1"/>
    </row>
    <row r="2718" spans="1:20" x14ac:dyDescent="0.35">
      <c r="A2718" s="37"/>
      <c r="H2718" s="1"/>
      <c r="I2718" s="1"/>
      <c r="J2718" s="1"/>
      <c r="L2718" s="1"/>
      <c r="O2718" s="1"/>
      <c r="P2718" s="1"/>
      <c r="Q2718" s="1"/>
      <c r="T2718" s="2"/>
    </row>
    <row r="2719" spans="1:20" x14ac:dyDescent="0.35">
      <c r="A2719" s="37"/>
      <c r="H2719" s="1"/>
      <c r="I2719" s="1"/>
      <c r="J2719" s="1"/>
      <c r="L2719" s="1"/>
      <c r="O2719" s="1"/>
      <c r="P2719" s="1"/>
      <c r="Q2719" s="1"/>
      <c r="T2719" s="2"/>
    </row>
    <row r="2720" spans="1:20" x14ac:dyDescent="0.35">
      <c r="A2720" s="37"/>
      <c r="H2720" s="1"/>
      <c r="I2720" s="1"/>
      <c r="J2720" s="1"/>
      <c r="L2720" s="1"/>
      <c r="O2720" s="1"/>
      <c r="P2720" s="1"/>
      <c r="Q2720" s="1"/>
      <c r="T2720" s="2"/>
    </row>
    <row r="2721" spans="1:20" x14ac:dyDescent="0.35">
      <c r="A2721" s="37"/>
      <c r="H2721" s="1"/>
      <c r="I2721" s="1"/>
      <c r="J2721" s="1"/>
      <c r="L2721" s="1"/>
      <c r="N2721" s="1"/>
      <c r="O2721" s="1"/>
      <c r="P2721" s="1"/>
      <c r="Q2721" s="1"/>
      <c r="T2721" s="1"/>
    </row>
    <row r="2722" spans="1:20" x14ac:dyDescent="0.35">
      <c r="A2722" s="37"/>
      <c r="H2722" s="1"/>
      <c r="I2722" s="1"/>
      <c r="J2722" s="1"/>
      <c r="L2722" s="1"/>
      <c r="N2722" s="1"/>
      <c r="O2722" s="1"/>
      <c r="P2722" s="1"/>
      <c r="Q2722" s="1"/>
      <c r="T2722" s="1"/>
    </row>
    <row r="2723" spans="1:20" x14ac:dyDescent="0.35">
      <c r="A2723" s="37"/>
      <c r="H2723" s="1"/>
      <c r="I2723" s="1"/>
      <c r="J2723" s="1"/>
      <c r="L2723" s="1"/>
      <c r="N2723" s="1"/>
      <c r="O2723" s="1"/>
      <c r="P2723" s="1"/>
      <c r="Q2723" s="1"/>
      <c r="T2723" s="1"/>
    </row>
    <row r="2724" spans="1:20" x14ac:dyDescent="0.35">
      <c r="A2724" s="37"/>
      <c r="H2724" s="1"/>
      <c r="I2724" s="1"/>
      <c r="J2724" s="1"/>
      <c r="L2724" s="1"/>
      <c r="N2724" s="1"/>
      <c r="O2724" s="1"/>
      <c r="P2724" s="1"/>
      <c r="Q2724" s="1"/>
      <c r="T2724" s="2"/>
    </row>
    <row r="2725" spans="1:20" x14ac:dyDescent="0.35">
      <c r="A2725" s="37"/>
      <c r="H2725" s="1"/>
      <c r="I2725" s="1"/>
      <c r="J2725" s="1"/>
      <c r="L2725" s="1"/>
      <c r="N2725" s="1"/>
      <c r="O2725" s="1"/>
      <c r="P2725" s="1"/>
      <c r="Q2725" s="1"/>
      <c r="T2725" s="2"/>
    </row>
    <row r="2726" spans="1:20" x14ac:dyDescent="0.35">
      <c r="A2726" s="37"/>
      <c r="H2726" s="1"/>
      <c r="I2726" s="1"/>
      <c r="J2726" s="1"/>
      <c r="L2726" s="1"/>
      <c r="O2726" s="1"/>
      <c r="P2726" s="1"/>
      <c r="Q2726" s="1"/>
      <c r="T2726" s="2"/>
    </row>
    <row r="2727" spans="1:20" x14ac:dyDescent="0.35">
      <c r="A2727" s="37"/>
      <c r="H2727" s="1"/>
      <c r="I2727" s="1"/>
      <c r="J2727" s="1"/>
      <c r="L2727" s="1"/>
      <c r="O2727" s="1"/>
      <c r="P2727" s="1"/>
      <c r="Q2727" s="1"/>
      <c r="T2727" s="2"/>
    </row>
    <row r="2728" spans="1:20" x14ac:dyDescent="0.35">
      <c r="A2728" s="37"/>
      <c r="H2728" s="1"/>
      <c r="I2728" s="1"/>
      <c r="J2728" s="1"/>
      <c r="L2728" s="1"/>
      <c r="M2728" s="39"/>
      <c r="O2728" s="1"/>
      <c r="P2728" s="1"/>
      <c r="Q2728" s="1"/>
      <c r="T2728" s="2"/>
    </row>
    <row r="2729" spans="1:20" x14ac:dyDescent="0.35">
      <c r="A2729" s="37"/>
      <c r="H2729" s="1"/>
      <c r="I2729" s="1"/>
      <c r="J2729" s="1"/>
      <c r="L2729" s="1"/>
      <c r="M2729" s="38"/>
      <c r="O2729" s="1"/>
      <c r="P2729" s="1"/>
      <c r="Q2729" s="1"/>
      <c r="T2729" s="1"/>
    </row>
    <row r="2730" spans="1:20" x14ac:dyDescent="0.35">
      <c r="A2730" s="37"/>
      <c r="H2730" s="1"/>
      <c r="I2730" s="1"/>
      <c r="J2730" s="1"/>
      <c r="L2730" s="1"/>
      <c r="N2730" s="1"/>
      <c r="O2730" s="1"/>
      <c r="P2730" s="1"/>
      <c r="Q2730" s="1"/>
      <c r="T2730" s="1"/>
    </row>
    <row r="2731" spans="1:20" x14ac:dyDescent="0.35">
      <c r="A2731" s="37"/>
      <c r="H2731" s="1"/>
      <c r="I2731" s="1"/>
      <c r="J2731" s="1"/>
      <c r="L2731" s="1"/>
      <c r="N2731" s="1"/>
      <c r="O2731" s="1"/>
      <c r="P2731" s="1"/>
      <c r="Q2731" s="1"/>
      <c r="T2731" s="1"/>
    </row>
    <row r="2732" spans="1:20" x14ac:dyDescent="0.35">
      <c r="A2732" s="37"/>
      <c r="H2732" s="1"/>
      <c r="I2732" s="1"/>
      <c r="J2732" s="1"/>
      <c r="L2732" s="1"/>
      <c r="N2732" s="1"/>
      <c r="O2732" s="1"/>
      <c r="P2732" s="1"/>
      <c r="Q2732" s="1"/>
      <c r="T2732" s="1"/>
    </row>
    <row r="2733" spans="1:20" x14ac:dyDescent="0.35">
      <c r="A2733" s="37"/>
      <c r="H2733" s="1"/>
      <c r="I2733" s="1"/>
      <c r="J2733" s="1"/>
      <c r="L2733" s="1"/>
      <c r="N2733" s="1"/>
      <c r="O2733" s="1"/>
      <c r="P2733" s="1"/>
      <c r="Q2733" s="1"/>
      <c r="T2733" s="1"/>
    </row>
    <row r="2734" spans="1:20" x14ac:dyDescent="0.35">
      <c r="A2734" s="37"/>
      <c r="H2734" s="1"/>
      <c r="I2734" s="1"/>
      <c r="J2734" s="1"/>
      <c r="L2734" s="1"/>
      <c r="O2734" s="1"/>
      <c r="P2734" s="1"/>
      <c r="Q2734" s="1"/>
      <c r="T2734" s="1"/>
    </row>
    <row r="2735" spans="1:20" x14ac:dyDescent="0.35">
      <c r="A2735" s="37"/>
      <c r="H2735" s="1"/>
      <c r="I2735" s="1"/>
      <c r="J2735" s="1"/>
      <c r="L2735" s="1"/>
      <c r="N2735" s="1"/>
      <c r="O2735" s="1"/>
      <c r="P2735" s="1"/>
      <c r="Q2735" s="1"/>
      <c r="T2735" s="2"/>
    </row>
    <row r="2736" spans="1:20" x14ac:dyDescent="0.35">
      <c r="A2736" s="37"/>
      <c r="H2736" s="1"/>
      <c r="I2736" s="1"/>
      <c r="J2736" s="1"/>
      <c r="L2736" s="1"/>
      <c r="O2736" s="1"/>
      <c r="P2736" s="1"/>
      <c r="Q2736" s="1"/>
      <c r="T2736" s="2"/>
    </row>
    <row r="2737" spans="1:20" x14ac:dyDescent="0.35">
      <c r="A2737" s="37"/>
      <c r="H2737" s="1"/>
      <c r="I2737" s="1"/>
      <c r="J2737" s="1"/>
      <c r="L2737" s="1"/>
      <c r="N2737" s="1"/>
      <c r="O2737" s="1"/>
      <c r="P2737" s="1"/>
      <c r="Q2737" s="1"/>
      <c r="T2737" s="1"/>
    </row>
    <row r="2738" spans="1:20" x14ac:dyDescent="0.35">
      <c r="A2738" s="37"/>
      <c r="H2738" s="1"/>
      <c r="I2738" s="1"/>
      <c r="J2738" s="1"/>
      <c r="L2738" s="1"/>
      <c r="O2738" s="1"/>
      <c r="P2738" s="1"/>
      <c r="Q2738" s="1"/>
      <c r="T2738" s="2"/>
    </row>
    <row r="2739" spans="1:20" x14ac:dyDescent="0.35">
      <c r="A2739" s="37"/>
      <c r="H2739" s="1"/>
      <c r="I2739" s="1"/>
      <c r="J2739" s="1"/>
      <c r="L2739" s="1"/>
      <c r="O2739" s="1"/>
      <c r="P2739" s="1"/>
      <c r="Q2739" s="1"/>
      <c r="T2739" s="2"/>
    </row>
    <row r="2740" spans="1:20" x14ac:dyDescent="0.35">
      <c r="A2740" s="37"/>
      <c r="H2740" s="1"/>
      <c r="I2740" s="1"/>
      <c r="J2740" s="1"/>
      <c r="L2740" s="1"/>
      <c r="N2740" s="1"/>
      <c r="O2740" s="1"/>
      <c r="P2740" s="1"/>
      <c r="Q2740" s="1"/>
      <c r="T2740" s="1"/>
    </row>
    <row r="2741" spans="1:20" x14ac:dyDescent="0.35">
      <c r="A2741" s="37"/>
      <c r="H2741" s="1"/>
      <c r="I2741" s="1"/>
      <c r="J2741" s="1"/>
      <c r="L2741" s="1"/>
      <c r="N2741" s="1"/>
      <c r="O2741" s="1"/>
      <c r="P2741" s="1"/>
      <c r="Q2741" s="1"/>
      <c r="T2741" s="1"/>
    </row>
    <row r="2742" spans="1:20" x14ac:dyDescent="0.35">
      <c r="A2742" s="37"/>
      <c r="H2742" s="1"/>
      <c r="I2742" s="1"/>
      <c r="J2742" s="1"/>
      <c r="L2742" s="1"/>
      <c r="O2742" s="1"/>
      <c r="P2742" s="1"/>
      <c r="Q2742" s="1"/>
      <c r="T2742" s="1"/>
    </row>
    <row r="2743" spans="1:20" x14ac:dyDescent="0.35">
      <c r="A2743" s="37"/>
      <c r="H2743" s="1"/>
      <c r="I2743" s="1"/>
      <c r="J2743" s="1"/>
      <c r="L2743" s="1"/>
      <c r="M2743" s="39"/>
      <c r="N2743" s="1"/>
      <c r="O2743" s="1"/>
      <c r="P2743" s="1"/>
      <c r="Q2743" s="1"/>
      <c r="T2743" s="2"/>
    </row>
    <row r="2744" spans="1:20" x14ac:dyDescent="0.35">
      <c r="A2744" s="37"/>
      <c r="H2744" s="1"/>
      <c r="I2744" s="1"/>
      <c r="J2744" s="1"/>
      <c r="L2744" s="1"/>
      <c r="O2744" s="1"/>
      <c r="P2744" s="1"/>
      <c r="Q2744" s="1"/>
      <c r="T2744" s="2"/>
    </row>
    <row r="2745" spans="1:20" x14ac:dyDescent="0.35">
      <c r="A2745" s="37"/>
      <c r="H2745" s="1"/>
      <c r="I2745" s="1"/>
      <c r="J2745" s="1"/>
      <c r="L2745" s="1"/>
      <c r="O2745" s="1"/>
      <c r="P2745" s="1"/>
      <c r="Q2745" s="1"/>
      <c r="T2745" s="2"/>
    </row>
    <row r="2746" spans="1:20" x14ac:dyDescent="0.35">
      <c r="A2746" s="37"/>
      <c r="H2746" s="1"/>
      <c r="I2746" s="1"/>
      <c r="J2746" s="1"/>
      <c r="L2746" s="1"/>
      <c r="O2746" s="1"/>
      <c r="P2746" s="1"/>
      <c r="Q2746" s="1"/>
      <c r="T2746" s="1"/>
    </row>
    <row r="2747" spans="1:20" x14ac:dyDescent="0.35">
      <c r="A2747" s="37"/>
      <c r="H2747" s="1"/>
      <c r="I2747" s="1"/>
      <c r="J2747" s="1"/>
      <c r="L2747" s="1"/>
      <c r="O2747" s="1"/>
      <c r="P2747" s="1"/>
      <c r="Q2747" s="1"/>
      <c r="T2747" s="1"/>
    </row>
    <row r="2748" spans="1:20" x14ac:dyDescent="0.35">
      <c r="A2748" s="37"/>
      <c r="H2748" s="1"/>
      <c r="I2748" s="1"/>
      <c r="J2748" s="1"/>
      <c r="L2748" s="1"/>
      <c r="O2748" s="1"/>
      <c r="P2748" s="1"/>
      <c r="Q2748" s="1"/>
      <c r="T2748" s="2"/>
    </row>
    <row r="2749" spans="1:20" x14ac:dyDescent="0.35">
      <c r="A2749" s="37"/>
      <c r="H2749" s="1"/>
      <c r="I2749" s="1"/>
      <c r="J2749" s="1"/>
      <c r="L2749" s="1"/>
      <c r="O2749" s="1"/>
      <c r="P2749" s="1"/>
      <c r="Q2749" s="1"/>
      <c r="T2749" s="2"/>
    </row>
    <row r="2750" spans="1:20" x14ac:dyDescent="0.35">
      <c r="A2750" s="37"/>
      <c r="H2750" s="1"/>
      <c r="I2750" s="1"/>
      <c r="J2750" s="1"/>
      <c r="L2750" s="1"/>
      <c r="O2750" s="1"/>
      <c r="P2750" s="1"/>
      <c r="Q2750" s="1"/>
      <c r="T2750" s="2"/>
    </row>
    <row r="2751" spans="1:20" x14ac:dyDescent="0.35">
      <c r="A2751" s="37"/>
      <c r="H2751" s="1"/>
      <c r="I2751" s="1"/>
      <c r="J2751" s="1"/>
      <c r="L2751" s="1"/>
      <c r="O2751" s="1"/>
      <c r="P2751" s="1"/>
      <c r="Q2751" s="1"/>
      <c r="T2751" s="2"/>
    </row>
    <row r="2752" spans="1:20" x14ac:dyDescent="0.35">
      <c r="A2752" s="37"/>
      <c r="H2752" s="1"/>
      <c r="I2752" s="1"/>
      <c r="J2752" s="1"/>
      <c r="L2752" s="1"/>
      <c r="O2752" s="1"/>
      <c r="P2752" s="1"/>
      <c r="Q2752" s="1"/>
      <c r="T2752" s="2"/>
    </row>
    <row r="2753" spans="1:20" x14ac:dyDescent="0.35">
      <c r="A2753" s="37"/>
      <c r="H2753" s="1"/>
      <c r="I2753" s="1"/>
      <c r="J2753" s="1"/>
      <c r="L2753" s="1"/>
      <c r="O2753" s="1"/>
      <c r="P2753" s="1"/>
      <c r="Q2753" s="1"/>
      <c r="T2753" s="2"/>
    </row>
    <row r="2754" spans="1:20" x14ac:dyDescent="0.35">
      <c r="A2754" s="37"/>
      <c r="H2754" s="1"/>
      <c r="I2754" s="1"/>
      <c r="J2754" s="1"/>
      <c r="L2754" s="1"/>
      <c r="O2754" s="1"/>
      <c r="P2754" s="1"/>
      <c r="Q2754" s="1"/>
      <c r="T2754" s="2"/>
    </row>
    <row r="2755" spans="1:20" x14ac:dyDescent="0.35">
      <c r="A2755" s="37"/>
      <c r="H2755" s="1"/>
      <c r="I2755" s="1"/>
      <c r="J2755" s="1"/>
      <c r="L2755" s="1"/>
      <c r="O2755" s="1"/>
      <c r="P2755" s="1"/>
      <c r="Q2755" s="1"/>
      <c r="T2755" s="2"/>
    </row>
    <row r="2756" spans="1:20" x14ac:dyDescent="0.35">
      <c r="A2756" s="37"/>
      <c r="H2756" s="1"/>
      <c r="I2756" s="1"/>
      <c r="J2756" s="1"/>
      <c r="L2756" s="1"/>
      <c r="O2756" s="1"/>
      <c r="P2756" s="1"/>
      <c r="Q2756" s="1"/>
      <c r="T2756" s="2"/>
    </row>
    <row r="2757" spans="1:20" x14ac:dyDescent="0.35">
      <c r="A2757" s="37"/>
      <c r="H2757" s="1"/>
      <c r="I2757" s="1"/>
      <c r="J2757" s="1"/>
      <c r="L2757" s="1"/>
      <c r="N2757" s="1"/>
      <c r="O2757" s="1"/>
      <c r="P2757" s="1"/>
      <c r="Q2757" s="1"/>
      <c r="T2757" s="1"/>
    </row>
    <row r="2758" spans="1:20" x14ac:dyDescent="0.35">
      <c r="A2758" s="37"/>
      <c r="H2758" s="1"/>
      <c r="I2758" s="1"/>
      <c r="J2758" s="1"/>
      <c r="L2758" s="1"/>
      <c r="N2758" s="1"/>
      <c r="O2758" s="1"/>
      <c r="P2758" s="1"/>
      <c r="Q2758" s="1"/>
      <c r="T2758" s="1"/>
    </row>
    <row r="2759" spans="1:20" x14ac:dyDescent="0.35">
      <c r="A2759" s="37"/>
      <c r="H2759" s="1"/>
      <c r="I2759" s="1"/>
      <c r="J2759" s="1"/>
      <c r="L2759" s="1"/>
      <c r="M2759" s="38"/>
      <c r="O2759" s="1"/>
      <c r="P2759" s="1"/>
      <c r="Q2759" s="1"/>
      <c r="T2759" s="2"/>
    </row>
    <row r="2760" spans="1:20" x14ac:dyDescent="0.35">
      <c r="A2760" s="37"/>
      <c r="H2760" s="1"/>
      <c r="I2760" s="1"/>
      <c r="J2760" s="1"/>
      <c r="L2760" s="1"/>
      <c r="M2760" s="38"/>
      <c r="O2760" s="1"/>
      <c r="P2760" s="1"/>
      <c r="Q2760" s="1"/>
      <c r="T2760" s="2"/>
    </row>
    <row r="2761" spans="1:20" x14ac:dyDescent="0.35">
      <c r="A2761" s="37"/>
      <c r="H2761" s="1"/>
      <c r="I2761" s="1"/>
      <c r="J2761" s="1"/>
      <c r="L2761" s="1"/>
      <c r="M2761" s="38"/>
      <c r="O2761" s="1"/>
      <c r="P2761" s="1"/>
      <c r="Q2761" s="1"/>
      <c r="T2761" s="2"/>
    </row>
    <row r="2762" spans="1:20" x14ac:dyDescent="0.35">
      <c r="A2762" s="37"/>
      <c r="H2762" s="1"/>
      <c r="I2762" s="1"/>
      <c r="J2762" s="1"/>
      <c r="L2762" s="1"/>
      <c r="M2762" s="38"/>
      <c r="O2762" s="1"/>
      <c r="P2762" s="1"/>
      <c r="Q2762" s="1"/>
      <c r="T2762" s="2"/>
    </row>
    <row r="2763" spans="1:20" x14ac:dyDescent="0.35">
      <c r="A2763" s="37"/>
      <c r="H2763" s="7"/>
      <c r="I2763" s="7"/>
      <c r="J2763" s="7"/>
      <c r="L2763" s="7"/>
      <c r="M2763" s="40"/>
      <c r="O2763" s="1"/>
      <c r="P2763" s="1"/>
      <c r="Q2763" s="1"/>
      <c r="T2763" s="2"/>
    </row>
    <row r="2764" spans="1:20" x14ac:dyDescent="0.35">
      <c r="A2764" s="37"/>
      <c r="H2764" s="7"/>
      <c r="I2764" s="7"/>
      <c r="J2764" s="7"/>
      <c r="L2764" s="7"/>
      <c r="M2764" s="40"/>
      <c r="O2764" s="1"/>
      <c r="P2764" s="1"/>
      <c r="Q2764" s="1"/>
      <c r="T2764" s="2"/>
    </row>
    <row r="2765" spans="1:20" x14ac:dyDescent="0.35">
      <c r="A2765" s="37"/>
      <c r="H2765" s="1"/>
      <c r="I2765" s="1"/>
      <c r="J2765" s="1"/>
      <c r="L2765" s="1"/>
      <c r="M2765" s="38"/>
      <c r="O2765" s="1"/>
      <c r="P2765" s="1"/>
      <c r="Q2765" s="1"/>
      <c r="T2765" s="2"/>
    </row>
    <row r="2766" spans="1:20" x14ac:dyDescent="0.35">
      <c r="A2766" s="37"/>
      <c r="H2766" s="1"/>
      <c r="I2766" s="1"/>
      <c r="J2766" s="1"/>
      <c r="L2766" s="1"/>
      <c r="M2766" s="38"/>
      <c r="O2766" s="1"/>
      <c r="P2766" s="1"/>
      <c r="Q2766" s="1"/>
      <c r="T2766" s="2"/>
    </row>
    <row r="2767" spans="1:20" x14ac:dyDescent="0.35">
      <c r="A2767" s="37"/>
      <c r="H2767" s="1"/>
      <c r="I2767" s="1"/>
      <c r="J2767" s="1"/>
      <c r="L2767" s="1"/>
      <c r="O2767" s="1"/>
      <c r="P2767" s="1"/>
      <c r="Q2767" s="1"/>
      <c r="T2767" s="2"/>
    </row>
    <row r="2768" spans="1:20" x14ac:dyDescent="0.35">
      <c r="A2768" s="37"/>
      <c r="H2768" s="1"/>
      <c r="I2768" s="1"/>
      <c r="J2768" s="1"/>
      <c r="L2768" s="1"/>
      <c r="O2768" s="1"/>
      <c r="P2768" s="1"/>
      <c r="Q2768" s="1"/>
      <c r="T2768" s="2"/>
    </row>
    <row r="2769" spans="1:20" x14ac:dyDescent="0.35">
      <c r="A2769" s="37"/>
      <c r="H2769" s="1"/>
      <c r="I2769" s="1"/>
      <c r="J2769" s="1"/>
      <c r="L2769" s="1"/>
      <c r="O2769" s="1"/>
      <c r="P2769" s="1"/>
      <c r="Q2769" s="1"/>
      <c r="T2769" s="2"/>
    </row>
    <row r="2770" spans="1:20" x14ac:dyDescent="0.35">
      <c r="A2770" s="37"/>
      <c r="H2770" s="1"/>
      <c r="I2770" s="1"/>
      <c r="J2770" s="1"/>
      <c r="L2770" s="1"/>
      <c r="O2770" s="1"/>
      <c r="P2770" s="1"/>
      <c r="Q2770" s="1"/>
      <c r="T2770" s="2"/>
    </row>
    <row r="2771" spans="1:20" x14ac:dyDescent="0.35">
      <c r="A2771" s="37"/>
      <c r="H2771" s="1"/>
      <c r="I2771" s="1"/>
      <c r="J2771" s="1"/>
      <c r="L2771" s="1"/>
      <c r="O2771" s="1"/>
      <c r="P2771" s="1"/>
      <c r="Q2771" s="1"/>
      <c r="T2771" s="2"/>
    </row>
    <row r="2772" spans="1:20" x14ac:dyDescent="0.35">
      <c r="A2772" s="37"/>
      <c r="H2772" s="1"/>
      <c r="I2772" s="1"/>
      <c r="J2772" s="1"/>
      <c r="L2772" s="1"/>
      <c r="O2772" s="1"/>
      <c r="P2772" s="1"/>
      <c r="Q2772" s="1"/>
      <c r="T2772" s="2"/>
    </row>
    <row r="2773" spans="1:20" x14ac:dyDescent="0.35">
      <c r="A2773" s="37"/>
      <c r="H2773" s="1"/>
      <c r="I2773" s="1"/>
      <c r="J2773" s="1"/>
      <c r="L2773" s="1"/>
      <c r="O2773" s="1"/>
      <c r="P2773" s="1"/>
      <c r="Q2773" s="1"/>
      <c r="T2773" s="2"/>
    </row>
    <row r="2774" spans="1:20" x14ac:dyDescent="0.35">
      <c r="A2774" s="37"/>
      <c r="H2774" s="1"/>
      <c r="I2774" s="1"/>
      <c r="J2774" s="1"/>
      <c r="L2774" s="1"/>
      <c r="O2774" s="1"/>
      <c r="P2774" s="1"/>
      <c r="Q2774" s="1"/>
      <c r="T2774" s="1"/>
    </row>
    <row r="2775" spans="1:20" x14ac:dyDescent="0.35">
      <c r="A2775" s="37"/>
      <c r="H2775" s="1"/>
      <c r="I2775" s="1"/>
      <c r="J2775" s="1"/>
      <c r="L2775" s="1"/>
      <c r="O2775" s="1"/>
      <c r="P2775" s="1"/>
      <c r="Q2775" s="1"/>
      <c r="T2775" s="1"/>
    </row>
    <row r="2776" spans="1:20" x14ac:dyDescent="0.35">
      <c r="A2776" s="37"/>
      <c r="H2776" s="1"/>
      <c r="I2776" s="1"/>
      <c r="J2776" s="1"/>
      <c r="L2776" s="1"/>
      <c r="N2776" s="1"/>
      <c r="O2776" s="1"/>
      <c r="P2776" s="1"/>
      <c r="Q2776" s="1"/>
      <c r="T2776" s="1"/>
    </row>
    <row r="2777" spans="1:20" x14ac:dyDescent="0.35">
      <c r="A2777" s="37"/>
      <c r="H2777" s="1"/>
      <c r="I2777" s="1"/>
      <c r="J2777" s="1"/>
      <c r="L2777" s="1"/>
      <c r="O2777" s="1"/>
      <c r="P2777" s="1"/>
      <c r="Q2777" s="1"/>
      <c r="T2777" s="2"/>
    </row>
    <row r="2778" spans="1:20" x14ac:dyDescent="0.35">
      <c r="A2778" s="37"/>
      <c r="H2778" s="1"/>
      <c r="I2778" s="1"/>
      <c r="J2778" s="1"/>
      <c r="L2778" s="1"/>
      <c r="O2778" s="1"/>
      <c r="P2778" s="1"/>
      <c r="Q2778" s="1"/>
      <c r="T2778" s="2"/>
    </row>
    <row r="2779" spans="1:20" x14ac:dyDescent="0.35">
      <c r="A2779" s="37"/>
      <c r="H2779" s="1"/>
      <c r="I2779" s="1"/>
      <c r="J2779" s="1"/>
      <c r="L2779" s="1"/>
      <c r="M2779" s="38"/>
      <c r="O2779" s="1"/>
      <c r="P2779" s="1"/>
      <c r="Q2779" s="1"/>
      <c r="T2779" s="2"/>
    </row>
    <row r="2780" spans="1:20" x14ac:dyDescent="0.35">
      <c r="A2780" s="37"/>
      <c r="H2780" s="1"/>
      <c r="I2780" s="1"/>
      <c r="J2780" s="1"/>
      <c r="L2780" s="1"/>
      <c r="M2780" s="38"/>
      <c r="O2780" s="1"/>
      <c r="P2780" s="1"/>
      <c r="Q2780" s="1"/>
      <c r="T2780" s="2"/>
    </row>
    <row r="2781" spans="1:20" x14ac:dyDescent="0.35">
      <c r="A2781" s="37"/>
      <c r="H2781" s="1"/>
      <c r="I2781" s="1"/>
      <c r="J2781" s="1"/>
      <c r="L2781" s="1"/>
      <c r="M2781" s="38"/>
      <c r="O2781" s="1"/>
      <c r="P2781" s="1"/>
      <c r="Q2781" s="1"/>
      <c r="T2781" s="2"/>
    </row>
    <row r="2782" spans="1:20" x14ac:dyDescent="0.35">
      <c r="A2782" s="37"/>
      <c r="H2782" s="1"/>
      <c r="I2782" s="1"/>
      <c r="J2782" s="1"/>
      <c r="L2782" s="1"/>
      <c r="M2782" s="38"/>
      <c r="O2782" s="1"/>
      <c r="P2782" s="1"/>
      <c r="Q2782" s="1"/>
      <c r="T2782" s="2"/>
    </row>
    <row r="2783" spans="1:20" x14ac:dyDescent="0.35">
      <c r="A2783" s="37"/>
      <c r="H2783" s="1"/>
      <c r="I2783" s="1"/>
      <c r="J2783" s="1"/>
      <c r="L2783" s="1"/>
      <c r="M2783" s="38"/>
      <c r="O2783" s="1"/>
      <c r="P2783" s="1"/>
      <c r="Q2783" s="1"/>
      <c r="T2783" s="2"/>
    </row>
    <row r="2784" spans="1:20" x14ac:dyDescent="0.35">
      <c r="A2784" s="37"/>
      <c r="H2784" s="1"/>
      <c r="I2784" s="1"/>
      <c r="J2784" s="1"/>
      <c r="L2784" s="1"/>
      <c r="M2784" s="38"/>
      <c r="O2784" s="1"/>
      <c r="P2784" s="1"/>
      <c r="Q2784" s="1"/>
      <c r="T2784" s="2"/>
    </row>
    <row r="2785" spans="1:20" x14ac:dyDescent="0.35">
      <c r="A2785" s="37"/>
      <c r="H2785" s="1"/>
      <c r="I2785" s="1"/>
      <c r="J2785" s="1"/>
      <c r="L2785" s="1"/>
      <c r="M2785" s="38"/>
      <c r="O2785" s="1"/>
      <c r="P2785" s="1"/>
      <c r="Q2785" s="1"/>
      <c r="T2785" s="2"/>
    </row>
    <row r="2786" spans="1:20" x14ac:dyDescent="0.35">
      <c r="A2786" s="37"/>
      <c r="H2786" s="1"/>
      <c r="I2786" s="1"/>
      <c r="J2786" s="1"/>
      <c r="L2786" s="1"/>
      <c r="M2786" s="38"/>
      <c r="O2786" s="1"/>
      <c r="P2786" s="1"/>
      <c r="Q2786" s="1"/>
      <c r="T2786" s="2"/>
    </row>
    <row r="2787" spans="1:20" x14ac:dyDescent="0.35">
      <c r="A2787" s="37"/>
      <c r="H2787" s="1"/>
      <c r="I2787" s="1"/>
      <c r="J2787" s="1"/>
      <c r="L2787" s="1"/>
      <c r="M2787" s="38"/>
      <c r="O2787" s="1"/>
      <c r="P2787" s="1"/>
      <c r="Q2787" s="1"/>
      <c r="T2787" s="2"/>
    </row>
    <row r="2788" spans="1:20" x14ac:dyDescent="0.35">
      <c r="A2788" s="37"/>
      <c r="H2788" s="1"/>
      <c r="I2788" s="1"/>
      <c r="J2788" s="1"/>
      <c r="L2788" s="1"/>
      <c r="M2788" s="38"/>
      <c r="O2788" s="1"/>
      <c r="P2788" s="1"/>
      <c r="Q2788" s="1"/>
      <c r="T2788" s="2"/>
    </row>
    <row r="2789" spans="1:20" x14ac:dyDescent="0.35">
      <c r="A2789" s="37"/>
      <c r="H2789" s="1"/>
      <c r="I2789" s="1"/>
      <c r="J2789" s="1"/>
      <c r="L2789" s="1"/>
      <c r="M2789" s="38"/>
      <c r="O2789" s="1"/>
      <c r="P2789" s="1"/>
      <c r="Q2789" s="1"/>
      <c r="T2789" s="2"/>
    </row>
    <row r="2790" spans="1:20" x14ac:dyDescent="0.35">
      <c r="A2790" s="37"/>
      <c r="H2790" s="1"/>
      <c r="I2790" s="1"/>
      <c r="J2790" s="1"/>
      <c r="L2790" s="1"/>
      <c r="M2790" s="38"/>
      <c r="O2790" s="1"/>
      <c r="P2790" s="1"/>
      <c r="Q2790" s="1"/>
      <c r="T2790" s="2"/>
    </row>
    <row r="2791" spans="1:20" x14ac:dyDescent="0.35">
      <c r="A2791" s="37"/>
      <c r="H2791" s="1"/>
      <c r="I2791" s="1"/>
      <c r="J2791" s="1"/>
      <c r="L2791" s="1"/>
      <c r="M2791" s="38"/>
      <c r="O2791" s="1"/>
      <c r="P2791" s="1"/>
      <c r="Q2791" s="1"/>
      <c r="T2791" s="2"/>
    </row>
    <row r="2792" spans="1:20" x14ac:dyDescent="0.35">
      <c r="A2792" s="37"/>
      <c r="H2792" s="1"/>
      <c r="I2792" s="1"/>
      <c r="J2792" s="1"/>
      <c r="L2792" s="1"/>
      <c r="M2792" s="38"/>
      <c r="O2792" s="1"/>
      <c r="P2792" s="1"/>
      <c r="Q2792" s="1"/>
      <c r="T2792" s="2"/>
    </row>
    <row r="2793" spans="1:20" x14ac:dyDescent="0.35">
      <c r="A2793" s="37"/>
      <c r="H2793" s="1"/>
      <c r="I2793" s="1"/>
      <c r="J2793" s="1"/>
      <c r="L2793" s="1"/>
      <c r="M2793" s="38"/>
      <c r="O2793" s="1"/>
      <c r="P2793" s="1"/>
      <c r="Q2793" s="1"/>
      <c r="T2793" s="2"/>
    </row>
    <row r="2794" spans="1:20" x14ac:dyDescent="0.35">
      <c r="A2794" s="37"/>
      <c r="H2794" s="1"/>
      <c r="I2794" s="1"/>
      <c r="J2794" s="1"/>
      <c r="L2794" s="1"/>
      <c r="M2794" s="38"/>
      <c r="O2794" s="1"/>
      <c r="P2794" s="1"/>
      <c r="Q2794" s="1"/>
      <c r="T2794" s="2"/>
    </row>
    <row r="2795" spans="1:20" x14ac:dyDescent="0.35">
      <c r="A2795" s="37"/>
      <c r="H2795" s="1"/>
      <c r="I2795" s="1"/>
      <c r="J2795" s="1"/>
      <c r="L2795" s="1"/>
      <c r="O2795" s="1"/>
      <c r="P2795" s="1"/>
      <c r="Q2795" s="1"/>
      <c r="T2795" s="2"/>
    </row>
    <row r="2796" spans="1:20" x14ac:dyDescent="0.35">
      <c r="A2796" s="37"/>
      <c r="H2796" s="1"/>
      <c r="I2796" s="1"/>
      <c r="J2796" s="1"/>
      <c r="L2796" s="1"/>
      <c r="N2796" s="1"/>
      <c r="O2796" s="1"/>
      <c r="P2796" s="1"/>
      <c r="Q2796" s="1"/>
      <c r="T2796" s="2"/>
    </row>
    <row r="2797" spans="1:20" x14ac:dyDescent="0.35">
      <c r="A2797" s="37"/>
      <c r="H2797" s="1"/>
      <c r="I2797" s="1"/>
      <c r="J2797" s="1"/>
      <c r="L2797" s="1"/>
      <c r="O2797" s="1"/>
      <c r="P2797" s="1"/>
      <c r="Q2797" s="1"/>
      <c r="T2797" s="2"/>
    </row>
    <row r="2798" spans="1:20" x14ac:dyDescent="0.35">
      <c r="A2798" s="37"/>
      <c r="H2798" s="1"/>
      <c r="I2798" s="1"/>
      <c r="J2798" s="1"/>
      <c r="L2798" s="1"/>
      <c r="O2798" s="1"/>
      <c r="P2798" s="1"/>
      <c r="Q2798" s="1"/>
      <c r="T2798" s="2"/>
    </row>
    <row r="2799" spans="1:20" x14ac:dyDescent="0.35">
      <c r="A2799" s="37"/>
      <c r="H2799" s="1"/>
      <c r="I2799" s="1"/>
      <c r="J2799" s="1"/>
      <c r="L2799" s="1"/>
      <c r="O2799" s="1"/>
      <c r="P2799" s="1"/>
      <c r="Q2799" s="1"/>
      <c r="T2799" s="2"/>
    </row>
    <row r="2800" spans="1:20" x14ac:dyDescent="0.35">
      <c r="A2800" s="37"/>
      <c r="H2800" s="1"/>
      <c r="I2800" s="1"/>
      <c r="J2800" s="1"/>
      <c r="L2800" s="1"/>
      <c r="N2800" s="1"/>
      <c r="O2800" s="1"/>
      <c r="P2800" s="1"/>
      <c r="Q2800" s="1"/>
      <c r="T2800" s="2"/>
    </row>
    <row r="2801" spans="1:20" x14ac:dyDescent="0.35">
      <c r="A2801" s="37"/>
      <c r="H2801" s="1"/>
      <c r="I2801" s="1"/>
      <c r="J2801" s="1"/>
      <c r="L2801" s="1"/>
      <c r="N2801" s="1"/>
      <c r="O2801" s="1"/>
      <c r="P2801" s="1"/>
      <c r="Q2801" s="1"/>
      <c r="T2801" s="1"/>
    </row>
    <row r="2802" spans="1:20" x14ac:dyDescent="0.35">
      <c r="A2802" s="37"/>
      <c r="H2802" s="1"/>
      <c r="I2802" s="1"/>
      <c r="J2802" s="1"/>
      <c r="L2802" s="1"/>
      <c r="N2802" s="1"/>
      <c r="O2802" s="1"/>
      <c r="P2802" s="1"/>
      <c r="Q2802" s="1"/>
      <c r="T2802" s="2"/>
    </row>
    <row r="2803" spans="1:20" x14ac:dyDescent="0.35">
      <c r="A2803" s="37"/>
      <c r="H2803" s="1"/>
      <c r="I2803" s="1"/>
      <c r="J2803" s="1"/>
      <c r="L2803" s="1"/>
      <c r="N2803" s="1"/>
      <c r="O2803" s="1"/>
      <c r="P2803" s="1"/>
      <c r="Q2803" s="1"/>
      <c r="T2803" s="1"/>
    </row>
    <row r="2804" spans="1:20" x14ac:dyDescent="0.35">
      <c r="A2804" s="37"/>
      <c r="H2804" s="1"/>
      <c r="I2804" s="1"/>
      <c r="J2804" s="1"/>
      <c r="L2804" s="1"/>
      <c r="N2804" s="1"/>
      <c r="O2804" s="1"/>
      <c r="P2804" s="1"/>
      <c r="Q2804" s="1"/>
      <c r="T2804" s="1"/>
    </row>
    <row r="2805" spans="1:20" x14ac:dyDescent="0.35">
      <c r="A2805" s="37"/>
      <c r="H2805" s="1"/>
      <c r="I2805" s="1"/>
      <c r="J2805" s="1"/>
      <c r="L2805" s="1"/>
      <c r="N2805" s="1"/>
      <c r="O2805" s="1"/>
      <c r="P2805" s="1"/>
      <c r="Q2805" s="1"/>
      <c r="T2805" s="2"/>
    </row>
    <row r="2806" spans="1:20" x14ac:dyDescent="0.35">
      <c r="A2806" s="37"/>
      <c r="H2806" s="1"/>
      <c r="I2806" s="1"/>
      <c r="J2806" s="1"/>
      <c r="L2806" s="1"/>
      <c r="N2806" s="1"/>
      <c r="O2806" s="1"/>
      <c r="P2806" s="1"/>
      <c r="Q2806" s="1"/>
      <c r="T2806" s="2"/>
    </row>
    <row r="2807" spans="1:20" x14ac:dyDescent="0.35">
      <c r="A2807" s="37"/>
      <c r="H2807" s="1"/>
      <c r="I2807" s="1"/>
      <c r="J2807" s="1"/>
      <c r="L2807" s="1"/>
      <c r="N2807" s="1"/>
      <c r="O2807" s="1"/>
      <c r="P2807" s="1"/>
      <c r="Q2807" s="1"/>
      <c r="T2807" s="2"/>
    </row>
    <row r="2808" spans="1:20" x14ac:dyDescent="0.35">
      <c r="A2808" s="37"/>
      <c r="H2808" s="1"/>
      <c r="I2808" s="1"/>
      <c r="J2808" s="1"/>
      <c r="L2808" s="1"/>
      <c r="N2808" s="1"/>
      <c r="O2808" s="1"/>
      <c r="P2808" s="1"/>
      <c r="Q2808" s="1"/>
      <c r="T2808" s="2"/>
    </row>
    <row r="2809" spans="1:20" x14ac:dyDescent="0.35">
      <c r="A2809" s="37"/>
      <c r="H2809" s="1"/>
      <c r="I2809" s="1"/>
      <c r="J2809" s="1"/>
      <c r="L2809" s="1"/>
      <c r="N2809" s="1"/>
      <c r="O2809" s="1"/>
      <c r="P2809" s="1"/>
      <c r="Q2809" s="1"/>
      <c r="T2809" s="1"/>
    </row>
    <row r="2810" spans="1:20" x14ac:dyDescent="0.35">
      <c r="A2810" s="37"/>
      <c r="H2810" s="1"/>
      <c r="I2810" s="1"/>
      <c r="J2810" s="1"/>
      <c r="L2810" s="1"/>
      <c r="N2810" s="1"/>
      <c r="O2810" s="1"/>
      <c r="P2810" s="1"/>
      <c r="Q2810" s="1"/>
      <c r="T2810" s="2"/>
    </row>
    <row r="2811" spans="1:20" x14ac:dyDescent="0.35">
      <c r="A2811" s="37"/>
      <c r="H2811" s="1"/>
      <c r="I2811" s="1"/>
      <c r="J2811" s="1"/>
      <c r="L2811" s="1"/>
      <c r="N2811" s="1"/>
      <c r="O2811" s="1"/>
      <c r="P2811" s="1"/>
      <c r="Q2811" s="1"/>
      <c r="T2811" s="2"/>
    </row>
    <row r="2812" spans="1:20" x14ac:dyDescent="0.35">
      <c r="A2812" s="37"/>
      <c r="H2812" s="1"/>
      <c r="I2812" s="1"/>
      <c r="J2812" s="1"/>
      <c r="L2812" s="1"/>
      <c r="N2812" s="1"/>
      <c r="O2812" s="1"/>
      <c r="P2812" s="1"/>
      <c r="Q2812" s="1"/>
      <c r="T2812" s="2"/>
    </row>
    <row r="2813" spans="1:20" x14ac:dyDescent="0.35">
      <c r="A2813" s="37"/>
      <c r="H2813" s="1"/>
      <c r="I2813" s="1"/>
      <c r="J2813" s="1"/>
      <c r="L2813" s="1"/>
      <c r="N2813" s="1"/>
      <c r="O2813" s="1"/>
      <c r="P2813" s="1"/>
      <c r="Q2813" s="1"/>
      <c r="T2813" s="2"/>
    </row>
    <row r="2814" spans="1:20" x14ac:dyDescent="0.35">
      <c r="A2814" s="37"/>
      <c r="H2814" s="1"/>
      <c r="I2814" s="1"/>
      <c r="J2814" s="1"/>
      <c r="L2814" s="1"/>
      <c r="N2814" s="1"/>
      <c r="O2814" s="1"/>
      <c r="P2814" s="1"/>
      <c r="Q2814" s="1"/>
      <c r="T2814" s="1"/>
    </row>
    <row r="2815" spans="1:20" x14ac:dyDescent="0.35">
      <c r="A2815" s="37"/>
      <c r="H2815" s="1"/>
      <c r="I2815" s="1"/>
      <c r="J2815" s="1"/>
      <c r="L2815" s="1"/>
      <c r="N2815" s="1"/>
      <c r="O2815" s="1"/>
      <c r="P2815" s="1"/>
      <c r="Q2815" s="1"/>
      <c r="T2815" s="2"/>
    </row>
    <row r="2816" spans="1:20" x14ac:dyDescent="0.35">
      <c r="A2816" s="37"/>
      <c r="H2816" s="1"/>
      <c r="I2816" s="1"/>
      <c r="J2816" s="1"/>
      <c r="L2816" s="1"/>
      <c r="N2816" s="1"/>
      <c r="O2816" s="1"/>
      <c r="P2816" s="1"/>
      <c r="Q2816" s="1"/>
      <c r="T2816" s="1"/>
    </row>
    <row r="2817" spans="1:20" x14ac:dyDescent="0.35">
      <c r="A2817" s="37"/>
      <c r="H2817" s="1"/>
      <c r="I2817" s="1"/>
      <c r="J2817" s="1"/>
      <c r="L2817" s="1"/>
      <c r="N2817" s="1"/>
      <c r="O2817" s="1"/>
      <c r="P2817" s="1"/>
      <c r="Q2817" s="1"/>
      <c r="T2817" s="1"/>
    </row>
    <row r="2818" spans="1:20" x14ac:dyDescent="0.35">
      <c r="A2818" s="37"/>
      <c r="H2818" s="1"/>
      <c r="I2818" s="1"/>
      <c r="J2818" s="1"/>
      <c r="L2818" s="1"/>
      <c r="N2818" s="1"/>
      <c r="O2818" s="1"/>
      <c r="P2818" s="1"/>
      <c r="Q2818" s="1"/>
      <c r="T2818" s="1"/>
    </row>
    <row r="2819" spans="1:20" x14ac:dyDescent="0.35">
      <c r="A2819" s="37"/>
      <c r="H2819" s="1"/>
      <c r="I2819" s="1"/>
      <c r="J2819" s="1"/>
      <c r="L2819" s="1"/>
      <c r="N2819" s="1"/>
      <c r="O2819" s="1"/>
      <c r="P2819" s="1"/>
      <c r="Q2819" s="1"/>
      <c r="T2819" s="2"/>
    </row>
    <row r="2820" spans="1:20" x14ac:dyDescent="0.35">
      <c r="A2820" s="37"/>
      <c r="H2820" s="1"/>
      <c r="I2820" s="1"/>
      <c r="J2820" s="1"/>
      <c r="L2820" s="1"/>
      <c r="N2820" s="1"/>
      <c r="O2820" s="1"/>
      <c r="P2820" s="1"/>
      <c r="Q2820" s="1"/>
      <c r="T2820" s="2"/>
    </row>
    <row r="2821" spans="1:20" x14ac:dyDescent="0.35">
      <c r="A2821" s="37"/>
      <c r="H2821" s="1"/>
      <c r="I2821" s="1"/>
      <c r="J2821" s="1"/>
      <c r="L2821" s="1"/>
      <c r="N2821" s="1"/>
      <c r="O2821" s="1"/>
      <c r="P2821" s="1"/>
      <c r="Q2821" s="1"/>
      <c r="T2821" s="2"/>
    </row>
    <row r="2822" spans="1:20" x14ac:dyDescent="0.35">
      <c r="A2822" s="37"/>
      <c r="H2822" s="1"/>
      <c r="I2822" s="1"/>
      <c r="J2822" s="1"/>
      <c r="L2822" s="1"/>
      <c r="N2822" s="1"/>
      <c r="O2822" s="1"/>
      <c r="P2822" s="1"/>
      <c r="Q2822" s="1"/>
      <c r="T2822" s="1"/>
    </row>
    <row r="2823" spans="1:20" x14ac:dyDescent="0.35">
      <c r="A2823" s="37"/>
      <c r="H2823" s="1"/>
      <c r="I2823" s="1"/>
      <c r="J2823" s="1"/>
      <c r="L2823" s="1"/>
      <c r="N2823" s="1"/>
      <c r="O2823" s="1"/>
      <c r="P2823" s="1"/>
      <c r="Q2823" s="1"/>
      <c r="T2823" s="1"/>
    </row>
    <row r="2824" spans="1:20" x14ac:dyDescent="0.35">
      <c r="A2824" s="37"/>
      <c r="H2824" s="1"/>
      <c r="I2824" s="1"/>
      <c r="J2824" s="1"/>
      <c r="L2824" s="1"/>
      <c r="N2824" s="1"/>
      <c r="O2824" s="1"/>
      <c r="P2824" s="1"/>
      <c r="Q2824" s="1"/>
      <c r="T2824" s="2"/>
    </row>
    <row r="2825" spans="1:20" x14ac:dyDescent="0.35">
      <c r="A2825" s="37"/>
      <c r="H2825" s="1"/>
      <c r="I2825" s="1"/>
      <c r="J2825" s="1"/>
      <c r="L2825" s="1"/>
      <c r="N2825" s="1"/>
      <c r="O2825" s="1"/>
      <c r="P2825" s="1"/>
      <c r="Q2825" s="1"/>
      <c r="T2825" s="2"/>
    </row>
    <row r="2826" spans="1:20" x14ac:dyDescent="0.35">
      <c r="A2826" s="37"/>
      <c r="H2826" s="1"/>
      <c r="I2826" s="1"/>
      <c r="J2826" s="1"/>
      <c r="L2826" s="1"/>
      <c r="M2826" s="39"/>
      <c r="N2826" s="1"/>
      <c r="O2826" s="1"/>
      <c r="P2826" s="1"/>
      <c r="Q2826" s="1"/>
      <c r="T2826" s="1"/>
    </row>
    <row r="2827" spans="1:20" x14ac:dyDescent="0.35">
      <c r="A2827" s="37"/>
      <c r="H2827" s="1"/>
      <c r="I2827" s="1"/>
      <c r="J2827" s="1"/>
      <c r="L2827" s="1"/>
      <c r="M2827" s="38"/>
      <c r="O2827" s="1"/>
      <c r="P2827" s="1"/>
      <c r="Q2827" s="1"/>
      <c r="T2827" s="2"/>
    </row>
    <row r="2828" spans="1:20" x14ac:dyDescent="0.35">
      <c r="A2828" s="37"/>
      <c r="H2828" s="1"/>
      <c r="I2828" s="1"/>
      <c r="J2828" s="1"/>
      <c r="L2828" s="1"/>
      <c r="M2828" s="38"/>
      <c r="O2828" s="1"/>
      <c r="P2828" s="1"/>
      <c r="Q2828" s="1"/>
      <c r="T2828" s="2"/>
    </row>
    <row r="2829" spans="1:20" x14ac:dyDescent="0.35">
      <c r="A2829" s="37"/>
      <c r="H2829" s="1"/>
      <c r="I2829" s="1"/>
      <c r="J2829" s="1"/>
      <c r="L2829" s="1"/>
      <c r="M2829" s="38"/>
      <c r="O2829" s="1"/>
      <c r="P2829" s="1"/>
      <c r="Q2829" s="1"/>
      <c r="T2829" s="2"/>
    </row>
    <row r="2830" spans="1:20" x14ac:dyDescent="0.35">
      <c r="A2830" s="37"/>
      <c r="H2830" s="1"/>
      <c r="I2830" s="1"/>
      <c r="J2830" s="1"/>
      <c r="L2830" s="1"/>
      <c r="O2830" s="1"/>
      <c r="P2830" s="1"/>
      <c r="Q2830" s="1"/>
      <c r="T2830" s="1"/>
    </row>
    <row r="2831" spans="1:20" x14ac:dyDescent="0.35">
      <c r="A2831" s="37"/>
      <c r="H2831" s="1"/>
      <c r="I2831" s="1"/>
      <c r="J2831" s="1"/>
      <c r="L2831" s="1"/>
      <c r="M2831" s="38"/>
      <c r="O2831" s="1"/>
      <c r="P2831" s="1"/>
      <c r="Q2831" s="1"/>
      <c r="T2831" s="2"/>
    </row>
    <row r="2832" spans="1:20" x14ac:dyDescent="0.35">
      <c r="A2832" s="37"/>
      <c r="H2832" s="1"/>
      <c r="I2832" s="1"/>
      <c r="J2832" s="1"/>
      <c r="L2832" s="1"/>
      <c r="M2832" s="38"/>
      <c r="O2832" s="1"/>
      <c r="P2832" s="1"/>
      <c r="Q2832" s="1"/>
      <c r="T2832" s="2"/>
    </row>
    <row r="2833" spans="1:20" x14ac:dyDescent="0.35">
      <c r="A2833" s="37"/>
      <c r="H2833" s="1"/>
      <c r="I2833" s="1"/>
      <c r="J2833" s="1"/>
      <c r="L2833" s="1"/>
      <c r="O2833" s="1"/>
      <c r="P2833" s="1"/>
      <c r="Q2833" s="1"/>
      <c r="T2833" s="2"/>
    </row>
    <row r="2834" spans="1:20" x14ac:dyDescent="0.35">
      <c r="A2834" s="37"/>
      <c r="H2834" s="1"/>
      <c r="I2834" s="1"/>
      <c r="J2834" s="1"/>
      <c r="L2834" s="1"/>
      <c r="N2834" s="1"/>
      <c r="O2834" s="1"/>
      <c r="P2834" s="1"/>
      <c r="Q2834" s="1"/>
      <c r="T2834" s="1"/>
    </row>
    <row r="2835" spans="1:20" x14ac:dyDescent="0.35">
      <c r="A2835" s="37"/>
      <c r="H2835" s="1"/>
      <c r="I2835" s="1"/>
      <c r="J2835" s="1"/>
      <c r="L2835" s="1"/>
      <c r="N2835" s="1"/>
      <c r="O2835" s="1"/>
      <c r="P2835" s="1"/>
      <c r="Q2835" s="1"/>
      <c r="T2835" s="1"/>
    </row>
    <row r="2836" spans="1:20" x14ac:dyDescent="0.35">
      <c r="A2836" s="37"/>
      <c r="H2836" s="1"/>
      <c r="I2836" s="1"/>
      <c r="J2836" s="1"/>
      <c r="L2836" s="1"/>
      <c r="N2836" s="1"/>
      <c r="O2836" s="1"/>
      <c r="P2836" s="1"/>
      <c r="Q2836" s="1"/>
      <c r="T2836" s="1"/>
    </row>
    <row r="2837" spans="1:20" x14ac:dyDescent="0.35">
      <c r="A2837" s="37"/>
      <c r="H2837" s="1"/>
      <c r="I2837" s="1"/>
      <c r="J2837" s="1"/>
      <c r="L2837" s="1"/>
      <c r="N2837" s="1"/>
      <c r="O2837" s="1"/>
      <c r="P2837" s="1"/>
      <c r="Q2837" s="1"/>
      <c r="T2837" s="2"/>
    </row>
    <row r="2838" spans="1:20" x14ac:dyDescent="0.35">
      <c r="A2838" s="37"/>
      <c r="H2838" s="1"/>
      <c r="I2838" s="1"/>
      <c r="J2838" s="1"/>
      <c r="L2838" s="1"/>
      <c r="N2838" s="1"/>
      <c r="O2838" s="1"/>
      <c r="P2838" s="1"/>
      <c r="Q2838" s="1"/>
      <c r="T2838" s="2"/>
    </row>
    <row r="2839" spans="1:20" x14ac:dyDescent="0.35">
      <c r="A2839" s="37"/>
      <c r="H2839" s="1"/>
      <c r="I2839" s="1"/>
      <c r="J2839" s="1"/>
      <c r="L2839" s="1"/>
      <c r="N2839" s="1"/>
      <c r="O2839" s="1"/>
      <c r="P2839" s="1"/>
      <c r="Q2839" s="1"/>
      <c r="T2839" s="1"/>
    </row>
    <row r="2840" spans="1:20" x14ac:dyDescent="0.35">
      <c r="A2840" s="37"/>
      <c r="H2840" s="1"/>
      <c r="I2840" s="1"/>
      <c r="J2840" s="1"/>
      <c r="L2840" s="1"/>
      <c r="N2840" s="1"/>
      <c r="O2840" s="1"/>
      <c r="P2840" s="1"/>
      <c r="Q2840" s="1"/>
      <c r="T2840" s="1"/>
    </row>
    <row r="2841" spans="1:20" x14ac:dyDescent="0.35">
      <c r="A2841" s="37"/>
      <c r="H2841" s="1"/>
      <c r="I2841" s="1"/>
      <c r="J2841" s="1"/>
      <c r="L2841" s="1"/>
      <c r="N2841" s="1"/>
      <c r="O2841" s="1"/>
      <c r="P2841" s="1"/>
      <c r="Q2841" s="1"/>
      <c r="T2841" s="1"/>
    </row>
    <row r="2842" spans="1:20" x14ac:dyDescent="0.35">
      <c r="A2842" s="37"/>
      <c r="H2842" s="1"/>
      <c r="I2842" s="1"/>
      <c r="J2842" s="1"/>
      <c r="L2842" s="1"/>
      <c r="N2842" s="1"/>
      <c r="O2842" s="1"/>
      <c r="P2842" s="1"/>
      <c r="Q2842" s="1"/>
      <c r="T2842" s="1"/>
    </row>
    <row r="2843" spans="1:20" x14ac:dyDescent="0.35">
      <c r="A2843" s="37"/>
      <c r="H2843" s="1"/>
      <c r="I2843" s="1"/>
      <c r="J2843" s="1"/>
      <c r="L2843" s="1"/>
      <c r="N2843" s="1"/>
      <c r="O2843" s="1"/>
      <c r="P2843" s="1"/>
      <c r="Q2843" s="1"/>
      <c r="T2843" s="1"/>
    </row>
    <row r="2844" spans="1:20" x14ac:dyDescent="0.35">
      <c r="A2844" s="37"/>
      <c r="H2844" s="1"/>
      <c r="I2844" s="1"/>
      <c r="J2844" s="1"/>
      <c r="L2844" s="1"/>
      <c r="N2844" s="1"/>
      <c r="O2844" s="1"/>
      <c r="P2844" s="1"/>
      <c r="Q2844" s="1"/>
      <c r="T2844" s="1"/>
    </row>
    <row r="2845" spans="1:20" x14ac:dyDescent="0.35">
      <c r="A2845" s="37"/>
      <c r="H2845" s="1"/>
      <c r="I2845" s="1"/>
      <c r="J2845" s="1"/>
      <c r="L2845" s="1"/>
      <c r="O2845" s="1"/>
      <c r="P2845" s="1"/>
      <c r="Q2845" s="1"/>
      <c r="T2845" s="2"/>
    </row>
    <row r="2846" spans="1:20" x14ac:dyDescent="0.35">
      <c r="A2846" s="37"/>
      <c r="H2846" s="1"/>
      <c r="I2846" s="1"/>
      <c r="J2846" s="1"/>
      <c r="L2846" s="1"/>
      <c r="O2846" s="1"/>
      <c r="P2846" s="1"/>
      <c r="Q2846" s="1"/>
      <c r="T2846" s="2"/>
    </row>
    <row r="2847" spans="1:20" x14ac:dyDescent="0.35">
      <c r="A2847" s="37"/>
      <c r="H2847" s="1"/>
      <c r="I2847" s="1"/>
      <c r="J2847" s="1"/>
      <c r="L2847" s="1"/>
      <c r="O2847" s="1"/>
      <c r="P2847" s="1"/>
      <c r="Q2847" s="1"/>
      <c r="T2847" s="2"/>
    </row>
    <row r="2848" spans="1:20" x14ac:dyDescent="0.35">
      <c r="A2848" s="37"/>
      <c r="H2848" s="1"/>
      <c r="I2848" s="1"/>
      <c r="J2848" s="1"/>
      <c r="L2848" s="1"/>
      <c r="O2848" s="1"/>
      <c r="P2848" s="1"/>
      <c r="Q2848" s="1"/>
      <c r="T2848" s="2"/>
    </row>
    <row r="2849" spans="1:20" x14ac:dyDescent="0.35">
      <c r="A2849" s="37"/>
      <c r="H2849" s="1"/>
      <c r="I2849" s="1"/>
      <c r="J2849" s="1"/>
      <c r="L2849" s="1"/>
      <c r="O2849" s="1"/>
      <c r="P2849" s="1"/>
      <c r="Q2849" s="1"/>
      <c r="T2849" s="2"/>
    </row>
    <row r="2850" spans="1:20" x14ac:dyDescent="0.35">
      <c r="A2850" s="37"/>
      <c r="H2850" s="1"/>
      <c r="I2850" s="1"/>
      <c r="J2850" s="1"/>
      <c r="L2850" s="1"/>
      <c r="O2850" s="1"/>
      <c r="P2850" s="1"/>
      <c r="Q2850" s="1"/>
      <c r="T2850" s="2"/>
    </row>
    <row r="2851" spans="1:20" x14ac:dyDescent="0.35">
      <c r="A2851" s="37"/>
      <c r="H2851" s="1"/>
      <c r="I2851" s="1"/>
      <c r="J2851" s="1"/>
      <c r="L2851" s="1"/>
      <c r="O2851" s="1"/>
      <c r="P2851" s="1"/>
      <c r="Q2851" s="1"/>
      <c r="T2851" s="2"/>
    </row>
    <row r="2852" spans="1:20" x14ac:dyDescent="0.35">
      <c r="A2852" s="37"/>
      <c r="H2852" s="1"/>
      <c r="I2852" s="1"/>
      <c r="J2852" s="1"/>
      <c r="L2852" s="1"/>
      <c r="O2852" s="1"/>
      <c r="P2852" s="1"/>
      <c r="Q2852" s="1"/>
      <c r="T2852" s="2"/>
    </row>
    <row r="2853" spans="1:20" x14ac:dyDescent="0.35">
      <c r="A2853" s="37"/>
      <c r="H2853" s="1"/>
      <c r="I2853" s="1"/>
      <c r="J2853" s="1"/>
      <c r="L2853" s="1"/>
      <c r="O2853" s="1"/>
      <c r="P2853" s="1"/>
      <c r="Q2853" s="1"/>
      <c r="T2853" s="2"/>
    </row>
    <row r="2854" spans="1:20" x14ac:dyDescent="0.35">
      <c r="A2854" s="37"/>
      <c r="H2854" s="1"/>
      <c r="I2854" s="1"/>
      <c r="J2854" s="1"/>
      <c r="L2854" s="1"/>
      <c r="O2854" s="1"/>
      <c r="P2854" s="1"/>
      <c r="Q2854" s="1"/>
      <c r="T2854" s="2"/>
    </row>
    <row r="2855" spans="1:20" x14ac:dyDescent="0.35">
      <c r="A2855" s="37"/>
      <c r="H2855" s="1"/>
      <c r="I2855" s="1"/>
      <c r="J2855" s="1"/>
      <c r="L2855" s="1"/>
      <c r="O2855" s="1"/>
      <c r="P2855" s="1"/>
      <c r="Q2855" s="1"/>
      <c r="T2855" s="2"/>
    </row>
    <row r="2856" spans="1:20" x14ac:dyDescent="0.35">
      <c r="A2856" s="37"/>
      <c r="H2856" s="1"/>
      <c r="I2856" s="1"/>
      <c r="J2856" s="1"/>
      <c r="L2856" s="1"/>
      <c r="O2856" s="1"/>
      <c r="P2856" s="1"/>
      <c r="Q2856" s="1"/>
      <c r="T2856" s="2"/>
    </row>
    <row r="2857" spans="1:20" x14ac:dyDescent="0.35">
      <c r="A2857" s="37"/>
      <c r="H2857" s="1"/>
      <c r="I2857" s="1"/>
      <c r="J2857" s="1"/>
      <c r="L2857" s="1"/>
      <c r="O2857" s="1"/>
      <c r="P2857" s="1"/>
      <c r="Q2857" s="1"/>
      <c r="T2857" s="2"/>
    </row>
    <row r="2858" spans="1:20" x14ac:dyDescent="0.35">
      <c r="A2858" s="37"/>
      <c r="H2858" s="1"/>
      <c r="I2858" s="1"/>
      <c r="J2858" s="1"/>
      <c r="L2858" s="1"/>
      <c r="N2858" s="1"/>
      <c r="O2858" s="1"/>
      <c r="P2858" s="1"/>
      <c r="Q2858" s="1"/>
      <c r="T2858" s="1"/>
    </row>
    <row r="2859" spans="1:20" x14ac:dyDescent="0.35">
      <c r="A2859" s="37"/>
      <c r="H2859" s="1"/>
      <c r="I2859" s="1"/>
      <c r="J2859" s="1"/>
      <c r="L2859" s="1"/>
      <c r="N2859" s="1"/>
      <c r="O2859" s="1"/>
      <c r="P2859" s="1"/>
      <c r="Q2859" s="1"/>
      <c r="T2859" s="1"/>
    </row>
    <row r="2860" spans="1:20" x14ac:dyDescent="0.35">
      <c r="A2860" s="37"/>
      <c r="H2860" s="1"/>
      <c r="I2860" s="1"/>
      <c r="J2860" s="1"/>
      <c r="L2860" s="1"/>
      <c r="N2860" s="1"/>
      <c r="O2860" s="1"/>
      <c r="P2860" s="1"/>
      <c r="Q2860" s="1"/>
      <c r="T2860" s="2"/>
    </row>
    <row r="2861" spans="1:20" x14ac:dyDescent="0.35">
      <c r="A2861" s="37"/>
      <c r="H2861" s="1"/>
      <c r="I2861" s="1"/>
      <c r="J2861" s="1"/>
      <c r="L2861" s="1"/>
      <c r="N2861" s="1"/>
      <c r="O2861" s="1"/>
      <c r="P2861" s="1"/>
      <c r="Q2861" s="1"/>
      <c r="T2861" s="1"/>
    </row>
    <row r="2862" spans="1:20" x14ac:dyDescent="0.35">
      <c r="A2862" s="37"/>
      <c r="H2862" s="1"/>
      <c r="I2862" s="1"/>
      <c r="J2862" s="1"/>
      <c r="L2862" s="1"/>
      <c r="N2862" s="1"/>
      <c r="O2862" s="1"/>
      <c r="P2862" s="1"/>
      <c r="Q2862" s="1"/>
      <c r="T2862" s="2"/>
    </row>
    <row r="2863" spans="1:20" x14ac:dyDescent="0.35">
      <c r="A2863" s="37"/>
      <c r="H2863" s="1"/>
      <c r="I2863" s="1"/>
      <c r="J2863" s="1"/>
      <c r="L2863" s="1"/>
      <c r="N2863" s="1"/>
      <c r="O2863" s="1"/>
      <c r="P2863" s="1"/>
      <c r="Q2863" s="1"/>
      <c r="T2863" s="1"/>
    </row>
    <row r="2864" spans="1:20" x14ac:dyDescent="0.35">
      <c r="A2864" s="37"/>
      <c r="H2864" s="1"/>
      <c r="I2864" s="1"/>
      <c r="J2864" s="1"/>
      <c r="L2864" s="1"/>
      <c r="N2864" s="1"/>
      <c r="O2864" s="1"/>
      <c r="P2864" s="1"/>
      <c r="Q2864" s="1"/>
      <c r="T2864" s="1"/>
    </row>
    <row r="2865" spans="1:20" x14ac:dyDescent="0.35">
      <c r="A2865" s="37"/>
      <c r="H2865" s="1"/>
      <c r="I2865" s="1"/>
      <c r="J2865" s="1"/>
      <c r="L2865" s="1"/>
      <c r="N2865" s="1"/>
      <c r="O2865" s="1"/>
      <c r="P2865" s="1"/>
      <c r="Q2865" s="1"/>
      <c r="T2865" s="2"/>
    </row>
    <row r="2866" spans="1:20" x14ac:dyDescent="0.35">
      <c r="A2866" s="37"/>
      <c r="H2866" s="1"/>
      <c r="I2866" s="1"/>
      <c r="J2866" s="1"/>
      <c r="L2866" s="1"/>
      <c r="N2866" s="1"/>
      <c r="O2866" s="1"/>
      <c r="P2866" s="1"/>
      <c r="Q2866" s="1"/>
      <c r="T2866" s="2"/>
    </row>
    <row r="2867" spans="1:20" x14ac:dyDescent="0.35">
      <c r="A2867" s="37"/>
      <c r="H2867" s="1"/>
      <c r="I2867" s="1"/>
      <c r="J2867" s="1"/>
      <c r="L2867" s="1"/>
      <c r="O2867" s="1"/>
      <c r="P2867" s="1"/>
      <c r="Q2867" s="1"/>
      <c r="T2867" s="2"/>
    </row>
    <row r="2868" spans="1:20" x14ac:dyDescent="0.35">
      <c r="A2868" s="37"/>
      <c r="H2868" s="1"/>
      <c r="I2868" s="1"/>
      <c r="J2868" s="1"/>
      <c r="L2868" s="1"/>
      <c r="M2868" s="39"/>
      <c r="N2868" s="1"/>
      <c r="O2868" s="1"/>
      <c r="P2868" s="1"/>
      <c r="Q2868" s="1"/>
      <c r="T2868" s="2"/>
    </row>
    <row r="2869" spans="1:20" x14ac:dyDescent="0.35">
      <c r="A2869" s="37"/>
      <c r="H2869" s="1"/>
      <c r="I2869" s="1"/>
      <c r="J2869" s="1"/>
      <c r="L2869" s="1"/>
      <c r="N2869" s="1"/>
      <c r="O2869" s="1"/>
      <c r="P2869" s="1"/>
      <c r="Q2869" s="1"/>
      <c r="T2869" s="1"/>
    </row>
    <row r="2870" spans="1:20" x14ac:dyDescent="0.35">
      <c r="A2870" s="37"/>
      <c r="H2870" s="1"/>
      <c r="I2870" s="1"/>
      <c r="J2870" s="1"/>
      <c r="L2870" s="1"/>
      <c r="N2870" s="1"/>
      <c r="O2870" s="1"/>
      <c r="P2870" s="1"/>
      <c r="Q2870" s="1"/>
      <c r="T2870" s="1"/>
    </row>
    <row r="2871" spans="1:20" x14ac:dyDescent="0.35">
      <c r="A2871" s="37"/>
      <c r="H2871" s="1"/>
      <c r="I2871" s="1"/>
      <c r="J2871" s="1"/>
      <c r="L2871" s="1"/>
      <c r="N2871" s="1"/>
      <c r="O2871" s="1"/>
      <c r="P2871" s="1"/>
      <c r="Q2871" s="1"/>
      <c r="T2871" s="1"/>
    </row>
    <row r="2872" spans="1:20" x14ac:dyDescent="0.35">
      <c r="A2872" s="37"/>
      <c r="H2872" s="1"/>
      <c r="I2872" s="1"/>
      <c r="J2872" s="1"/>
      <c r="L2872" s="1"/>
      <c r="N2872" s="1"/>
      <c r="O2872" s="1"/>
      <c r="P2872" s="1"/>
      <c r="Q2872" s="1"/>
      <c r="T2872" s="2"/>
    </row>
    <row r="2873" spans="1:20" x14ac:dyDescent="0.35">
      <c r="A2873" s="37"/>
      <c r="H2873" s="1"/>
      <c r="I2873" s="1"/>
      <c r="J2873" s="1"/>
      <c r="L2873" s="1"/>
      <c r="N2873" s="1"/>
      <c r="O2873" s="1"/>
      <c r="P2873" s="1"/>
      <c r="Q2873" s="1"/>
      <c r="T2873" s="1"/>
    </row>
    <row r="2874" spans="1:20" x14ac:dyDescent="0.35">
      <c r="A2874" s="37"/>
      <c r="H2874" s="1"/>
      <c r="I2874" s="1"/>
      <c r="J2874" s="1"/>
      <c r="L2874" s="1"/>
      <c r="N2874" s="1"/>
      <c r="O2874" s="1"/>
      <c r="P2874" s="1"/>
      <c r="Q2874" s="1"/>
      <c r="T2874" s="2"/>
    </row>
    <row r="2875" spans="1:20" x14ac:dyDescent="0.35">
      <c r="A2875" s="37"/>
      <c r="H2875" s="1"/>
      <c r="I2875" s="1"/>
      <c r="J2875" s="1"/>
      <c r="L2875" s="1"/>
      <c r="O2875" s="1"/>
      <c r="P2875" s="1"/>
      <c r="Q2875" s="1"/>
      <c r="T2875" s="2"/>
    </row>
    <row r="2876" spans="1:20" x14ac:dyDescent="0.35">
      <c r="A2876" s="37"/>
      <c r="H2876" s="1"/>
      <c r="I2876" s="1"/>
      <c r="J2876" s="1"/>
      <c r="L2876" s="1"/>
      <c r="M2876" s="38"/>
      <c r="O2876" s="1"/>
      <c r="P2876" s="1"/>
      <c r="Q2876" s="1"/>
      <c r="T2876" s="2"/>
    </row>
    <row r="2877" spans="1:20" x14ac:dyDescent="0.35">
      <c r="A2877" s="37"/>
      <c r="H2877" s="1"/>
      <c r="I2877" s="1"/>
      <c r="J2877" s="1"/>
      <c r="L2877" s="1"/>
      <c r="M2877" s="38"/>
      <c r="O2877" s="1"/>
      <c r="P2877" s="1"/>
      <c r="Q2877" s="1"/>
      <c r="T2877" s="2"/>
    </row>
    <row r="2878" spans="1:20" x14ac:dyDescent="0.35">
      <c r="A2878" s="37"/>
      <c r="H2878" s="1"/>
      <c r="I2878" s="1"/>
      <c r="J2878" s="1"/>
      <c r="L2878" s="1"/>
      <c r="N2878" s="1"/>
      <c r="O2878" s="1"/>
      <c r="P2878" s="1"/>
      <c r="Q2878" s="1"/>
      <c r="T2878" s="1"/>
    </row>
    <row r="2879" spans="1:20" x14ac:dyDescent="0.35">
      <c r="A2879" s="37"/>
      <c r="H2879" s="1"/>
      <c r="I2879" s="1"/>
      <c r="J2879" s="1"/>
      <c r="L2879" s="1"/>
      <c r="O2879" s="1"/>
      <c r="P2879" s="1"/>
      <c r="Q2879" s="1"/>
      <c r="T2879" s="2"/>
    </row>
    <row r="2880" spans="1:20" x14ac:dyDescent="0.35">
      <c r="A2880" s="37"/>
      <c r="H2880" s="1"/>
      <c r="I2880" s="1"/>
      <c r="J2880" s="1"/>
      <c r="L2880" s="1"/>
      <c r="O2880" s="1"/>
      <c r="P2880" s="1"/>
      <c r="Q2880" s="1"/>
      <c r="T2880" s="2"/>
    </row>
    <row r="2881" spans="1:20" x14ac:dyDescent="0.35">
      <c r="A2881" s="37"/>
      <c r="H2881" s="1"/>
      <c r="I2881" s="1"/>
      <c r="J2881" s="1"/>
      <c r="L2881" s="1"/>
      <c r="O2881" s="1"/>
      <c r="P2881" s="1"/>
      <c r="Q2881" s="1"/>
      <c r="T2881" s="2"/>
    </row>
    <row r="2882" spans="1:20" x14ac:dyDescent="0.35">
      <c r="A2882" s="37"/>
      <c r="H2882" s="1"/>
      <c r="I2882" s="1"/>
      <c r="J2882" s="1"/>
      <c r="L2882" s="1"/>
      <c r="N2882" s="1"/>
      <c r="O2882" s="1"/>
      <c r="P2882" s="1"/>
      <c r="Q2882" s="1"/>
      <c r="T2882" s="1"/>
    </row>
    <row r="2883" spans="1:20" x14ac:dyDescent="0.35">
      <c r="A2883" s="37"/>
      <c r="H2883" s="1"/>
      <c r="I2883" s="1"/>
      <c r="J2883" s="1"/>
      <c r="L2883" s="1"/>
      <c r="N2883" s="1"/>
      <c r="O2883" s="1"/>
      <c r="P2883" s="1"/>
      <c r="Q2883" s="1"/>
      <c r="T2883" s="2"/>
    </row>
    <row r="2884" spans="1:20" x14ac:dyDescent="0.35">
      <c r="A2884" s="37"/>
      <c r="H2884" s="1"/>
      <c r="I2884" s="1"/>
      <c r="J2884" s="1"/>
      <c r="L2884" s="1"/>
      <c r="N2884" s="1"/>
      <c r="O2884" s="1"/>
      <c r="P2884" s="1"/>
      <c r="Q2884" s="1"/>
      <c r="T2884" s="2"/>
    </row>
    <row r="2885" spans="1:20" x14ac:dyDescent="0.35">
      <c r="A2885" s="37"/>
      <c r="H2885" s="1"/>
      <c r="I2885" s="1"/>
      <c r="J2885" s="1"/>
      <c r="L2885" s="1"/>
      <c r="M2885" s="39"/>
      <c r="O2885" s="1"/>
      <c r="P2885" s="1"/>
      <c r="Q2885" s="1"/>
      <c r="T2885" s="2"/>
    </row>
    <row r="2886" spans="1:20" x14ac:dyDescent="0.35">
      <c r="A2886" s="37"/>
      <c r="H2886" s="1"/>
      <c r="I2886" s="1"/>
      <c r="J2886" s="1"/>
      <c r="L2886" s="1"/>
      <c r="N2886" s="1"/>
      <c r="O2886" s="1"/>
      <c r="P2886" s="1"/>
      <c r="Q2886" s="1"/>
      <c r="T2886" s="2"/>
    </row>
    <row r="2887" spans="1:20" x14ac:dyDescent="0.35">
      <c r="A2887" s="37"/>
      <c r="H2887" s="1"/>
      <c r="I2887" s="1"/>
      <c r="J2887" s="1"/>
      <c r="L2887" s="1"/>
      <c r="N2887" s="1"/>
      <c r="O2887" s="1"/>
      <c r="P2887" s="1"/>
      <c r="Q2887" s="1"/>
      <c r="T2887" s="2"/>
    </row>
    <row r="2888" spans="1:20" x14ac:dyDescent="0.35">
      <c r="A2888" s="37"/>
      <c r="H2888" s="1"/>
      <c r="I2888" s="1"/>
      <c r="J2888" s="1"/>
      <c r="L2888" s="1"/>
      <c r="N2888" s="1"/>
      <c r="O2888" s="1"/>
      <c r="P2888" s="1"/>
      <c r="Q2888" s="1"/>
      <c r="T2888" s="2"/>
    </row>
    <row r="2889" spans="1:20" x14ac:dyDescent="0.35">
      <c r="A2889" s="37"/>
      <c r="H2889" s="1"/>
      <c r="I2889" s="1"/>
      <c r="J2889" s="1"/>
      <c r="L2889" s="1"/>
      <c r="N2889" s="1"/>
      <c r="O2889" s="1"/>
      <c r="P2889" s="1"/>
      <c r="Q2889" s="1"/>
      <c r="T2889" s="2"/>
    </row>
    <row r="2890" spans="1:20" x14ac:dyDescent="0.35">
      <c r="A2890" s="37"/>
      <c r="H2890" s="1"/>
      <c r="I2890" s="1"/>
      <c r="J2890" s="1"/>
      <c r="L2890" s="1"/>
      <c r="O2890" s="1"/>
      <c r="P2890" s="1"/>
      <c r="Q2890" s="1"/>
      <c r="T2890" s="2"/>
    </row>
    <row r="2891" spans="1:20" x14ac:dyDescent="0.35">
      <c r="A2891" s="37"/>
      <c r="H2891" s="1"/>
      <c r="I2891" s="1"/>
      <c r="J2891" s="1"/>
      <c r="L2891" s="1"/>
      <c r="O2891" s="1"/>
      <c r="P2891" s="1"/>
      <c r="Q2891" s="1"/>
      <c r="T2891" s="2"/>
    </row>
    <row r="2892" spans="1:20" x14ac:dyDescent="0.35">
      <c r="A2892" s="37"/>
      <c r="H2892" s="1"/>
      <c r="I2892" s="1"/>
      <c r="J2892" s="1"/>
      <c r="L2892" s="1"/>
      <c r="O2892" s="1"/>
      <c r="P2892" s="1"/>
      <c r="Q2892" s="1"/>
      <c r="T2892" s="2"/>
    </row>
    <row r="2893" spans="1:20" x14ac:dyDescent="0.35">
      <c r="A2893" s="37"/>
      <c r="H2893" s="1"/>
      <c r="I2893" s="1"/>
      <c r="J2893" s="1"/>
      <c r="L2893" s="1"/>
      <c r="O2893" s="1"/>
      <c r="P2893" s="1"/>
      <c r="Q2893" s="1"/>
      <c r="T2893" s="2"/>
    </row>
    <row r="2894" spans="1:20" x14ac:dyDescent="0.35">
      <c r="A2894" s="37"/>
      <c r="H2894" s="7"/>
      <c r="I2894" s="7"/>
      <c r="J2894" s="7"/>
      <c r="L2894" s="7"/>
      <c r="M2894" s="40"/>
      <c r="O2894" s="1"/>
      <c r="P2894" s="1"/>
      <c r="Q2894" s="1"/>
      <c r="T2894" s="1"/>
    </row>
    <row r="2895" spans="1:20" x14ac:dyDescent="0.35">
      <c r="A2895" s="37"/>
      <c r="H2895" s="1"/>
      <c r="I2895" s="1"/>
      <c r="J2895" s="1"/>
      <c r="L2895" s="1"/>
      <c r="N2895" s="1"/>
      <c r="O2895" s="1"/>
      <c r="P2895" s="1"/>
      <c r="Q2895" s="1"/>
      <c r="T2895" s="1"/>
    </row>
    <row r="2896" spans="1:20" x14ac:dyDescent="0.35">
      <c r="A2896" s="37"/>
      <c r="H2896" s="1"/>
      <c r="I2896" s="1"/>
      <c r="J2896" s="1"/>
      <c r="L2896" s="1"/>
      <c r="N2896" s="1"/>
      <c r="O2896" s="1"/>
      <c r="P2896" s="1"/>
      <c r="Q2896" s="1"/>
      <c r="T2896" s="2"/>
    </row>
    <row r="2897" spans="1:20" x14ac:dyDescent="0.35">
      <c r="A2897" s="37"/>
      <c r="H2897" s="1"/>
      <c r="I2897" s="1"/>
      <c r="J2897" s="1"/>
      <c r="L2897" s="1"/>
      <c r="M2897" s="38"/>
      <c r="O2897" s="1"/>
      <c r="P2897" s="1"/>
      <c r="Q2897" s="1"/>
      <c r="T2897" s="2"/>
    </row>
    <row r="2898" spans="1:20" x14ac:dyDescent="0.35">
      <c r="A2898" s="37"/>
      <c r="H2898" s="1"/>
      <c r="I2898" s="1"/>
      <c r="J2898" s="1"/>
      <c r="L2898" s="1"/>
      <c r="M2898" s="38"/>
      <c r="O2898" s="1"/>
      <c r="P2898" s="1"/>
      <c r="Q2898" s="1"/>
      <c r="T2898" s="2"/>
    </row>
    <row r="2899" spans="1:20" x14ac:dyDescent="0.35">
      <c r="A2899" s="37"/>
      <c r="H2899" s="1"/>
      <c r="I2899" s="1"/>
      <c r="J2899" s="1"/>
      <c r="L2899" s="1"/>
      <c r="M2899" s="38"/>
      <c r="O2899" s="1"/>
      <c r="P2899" s="1"/>
      <c r="Q2899" s="1"/>
      <c r="T2899" s="2"/>
    </row>
    <row r="2900" spans="1:20" x14ac:dyDescent="0.35">
      <c r="A2900" s="37"/>
      <c r="H2900" s="1"/>
      <c r="I2900" s="1"/>
      <c r="J2900" s="1"/>
      <c r="L2900" s="1"/>
      <c r="M2900" s="38"/>
      <c r="O2900" s="1"/>
      <c r="P2900" s="1"/>
      <c r="Q2900" s="1"/>
      <c r="T2900" s="2"/>
    </row>
    <row r="2901" spans="1:20" x14ac:dyDescent="0.35">
      <c r="A2901" s="37"/>
      <c r="H2901" s="1"/>
      <c r="I2901" s="1"/>
      <c r="J2901" s="1"/>
      <c r="L2901" s="1"/>
      <c r="M2901" s="38"/>
      <c r="O2901" s="1"/>
      <c r="P2901" s="1"/>
      <c r="Q2901" s="1"/>
      <c r="T2901" s="2"/>
    </row>
    <row r="2902" spans="1:20" x14ac:dyDescent="0.35">
      <c r="A2902" s="37"/>
      <c r="H2902" s="1"/>
      <c r="I2902" s="1"/>
      <c r="J2902" s="1"/>
      <c r="L2902" s="1"/>
      <c r="O2902" s="1"/>
      <c r="P2902" s="1"/>
      <c r="Q2902" s="1"/>
      <c r="T2902" s="2"/>
    </row>
    <row r="2903" spans="1:20" x14ac:dyDescent="0.35">
      <c r="A2903" s="37"/>
      <c r="H2903" s="1"/>
      <c r="I2903" s="1"/>
      <c r="J2903" s="1"/>
      <c r="L2903" s="1"/>
      <c r="N2903" s="1"/>
      <c r="O2903" s="1"/>
      <c r="P2903" s="1"/>
      <c r="Q2903" s="1"/>
      <c r="T2903" s="1"/>
    </row>
    <row r="2904" spans="1:20" x14ac:dyDescent="0.35">
      <c r="A2904" s="37"/>
      <c r="H2904" s="1"/>
      <c r="I2904" s="1"/>
      <c r="J2904" s="1"/>
      <c r="L2904" s="1"/>
      <c r="N2904" s="1"/>
      <c r="O2904" s="1"/>
      <c r="P2904" s="1"/>
      <c r="Q2904" s="1"/>
      <c r="T2904" s="1"/>
    </row>
    <row r="2905" spans="1:20" x14ac:dyDescent="0.35">
      <c r="A2905" s="37"/>
      <c r="H2905" s="1"/>
      <c r="I2905" s="1"/>
      <c r="J2905" s="1"/>
      <c r="L2905" s="1"/>
      <c r="O2905" s="1"/>
      <c r="P2905" s="1"/>
      <c r="Q2905" s="1"/>
      <c r="T2905" s="2"/>
    </row>
    <row r="2906" spans="1:20" x14ac:dyDescent="0.35">
      <c r="A2906" s="37"/>
      <c r="H2906" s="1"/>
      <c r="I2906" s="1"/>
      <c r="J2906" s="1"/>
      <c r="L2906" s="1"/>
      <c r="N2906" s="1"/>
      <c r="O2906" s="1"/>
      <c r="P2906" s="1"/>
      <c r="Q2906" s="1"/>
      <c r="T2906" s="2"/>
    </row>
    <row r="2907" spans="1:20" x14ac:dyDescent="0.35">
      <c r="A2907" s="37"/>
      <c r="H2907" s="1"/>
      <c r="I2907" s="1"/>
      <c r="J2907" s="1"/>
      <c r="L2907" s="1"/>
      <c r="N2907" s="1"/>
      <c r="O2907" s="1"/>
      <c r="P2907" s="1"/>
      <c r="Q2907" s="1"/>
      <c r="T2907" s="2"/>
    </row>
    <row r="2908" spans="1:20" x14ac:dyDescent="0.35">
      <c r="A2908" s="37"/>
      <c r="H2908" s="1"/>
      <c r="I2908" s="1"/>
      <c r="J2908" s="1"/>
      <c r="L2908" s="1"/>
      <c r="O2908" s="1"/>
      <c r="P2908" s="1"/>
      <c r="Q2908" s="1"/>
      <c r="T2908" s="2"/>
    </row>
    <row r="2909" spans="1:20" x14ac:dyDescent="0.35">
      <c r="A2909" s="37"/>
      <c r="H2909" s="1"/>
      <c r="I2909" s="1"/>
      <c r="J2909" s="1"/>
      <c r="L2909" s="1"/>
      <c r="O2909" s="1"/>
      <c r="P2909" s="1"/>
      <c r="Q2909" s="1"/>
      <c r="T2909" s="2"/>
    </row>
    <row r="2910" spans="1:20" x14ac:dyDescent="0.35">
      <c r="A2910" s="37"/>
      <c r="H2910" s="1"/>
      <c r="I2910" s="1"/>
      <c r="J2910" s="1"/>
      <c r="L2910" s="1"/>
      <c r="N2910" s="1"/>
      <c r="O2910" s="1"/>
      <c r="P2910" s="1"/>
      <c r="Q2910" s="1"/>
      <c r="T2910" s="1"/>
    </row>
    <row r="2911" spans="1:20" x14ac:dyDescent="0.35">
      <c r="A2911" s="37"/>
      <c r="H2911" s="1"/>
      <c r="I2911" s="1"/>
      <c r="J2911" s="1"/>
      <c r="L2911" s="1"/>
      <c r="N2911" s="1"/>
      <c r="O2911" s="1"/>
      <c r="P2911" s="1"/>
      <c r="Q2911" s="1"/>
      <c r="T2911" s="1"/>
    </row>
    <row r="2912" spans="1:20" x14ac:dyDescent="0.35">
      <c r="A2912" s="37"/>
      <c r="H2912" s="1"/>
      <c r="I2912" s="1"/>
      <c r="J2912" s="1"/>
      <c r="L2912" s="1"/>
      <c r="M2912" s="39"/>
      <c r="N2912" s="1"/>
      <c r="O2912" s="1"/>
      <c r="P2912" s="1"/>
      <c r="Q2912" s="1"/>
      <c r="T2912" s="2"/>
    </row>
    <row r="2913" spans="1:20" x14ac:dyDescent="0.35">
      <c r="A2913" s="37"/>
      <c r="H2913" s="1"/>
      <c r="I2913" s="1"/>
      <c r="J2913" s="1"/>
      <c r="L2913" s="1"/>
      <c r="N2913" s="1"/>
      <c r="O2913" s="1"/>
      <c r="P2913" s="1"/>
      <c r="Q2913" s="1"/>
      <c r="T2913" s="2"/>
    </row>
    <row r="2914" spans="1:20" x14ac:dyDescent="0.35">
      <c r="A2914" s="37"/>
      <c r="H2914" s="1"/>
      <c r="I2914" s="1"/>
      <c r="J2914" s="1"/>
      <c r="L2914" s="1"/>
      <c r="N2914" s="1"/>
      <c r="O2914" s="1"/>
      <c r="P2914" s="1"/>
      <c r="Q2914" s="1"/>
      <c r="T2914" s="1"/>
    </row>
    <row r="2915" spans="1:20" x14ac:dyDescent="0.35">
      <c r="A2915" s="37"/>
      <c r="H2915" s="1"/>
      <c r="I2915" s="1"/>
      <c r="J2915" s="1"/>
      <c r="L2915" s="1"/>
      <c r="N2915" s="1"/>
      <c r="O2915" s="1"/>
      <c r="P2915" s="1"/>
      <c r="Q2915" s="1"/>
      <c r="T2915" s="2"/>
    </row>
    <row r="2916" spans="1:20" x14ac:dyDescent="0.35">
      <c r="A2916" s="37"/>
      <c r="H2916" s="1"/>
      <c r="I2916" s="1"/>
      <c r="J2916" s="1"/>
      <c r="L2916" s="1"/>
      <c r="N2916" s="1"/>
      <c r="O2916" s="1"/>
      <c r="P2916" s="1"/>
      <c r="Q2916" s="1"/>
      <c r="T2916" s="2"/>
    </row>
    <row r="2917" spans="1:20" x14ac:dyDescent="0.35">
      <c r="A2917" s="37"/>
      <c r="H2917" s="1"/>
      <c r="I2917" s="1"/>
      <c r="J2917" s="1"/>
      <c r="L2917" s="1"/>
      <c r="N2917" s="1"/>
      <c r="O2917" s="1"/>
      <c r="P2917" s="1"/>
      <c r="Q2917" s="1"/>
      <c r="T2917" s="1"/>
    </row>
    <row r="2918" spans="1:20" x14ac:dyDescent="0.35">
      <c r="A2918" s="37"/>
      <c r="H2918" s="1"/>
      <c r="I2918" s="1"/>
      <c r="J2918" s="1"/>
      <c r="L2918" s="1"/>
      <c r="N2918" s="1"/>
      <c r="O2918" s="1"/>
      <c r="P2918" s="1"/>
      <c r="Q2918" s="1"/>
      <c r="T2918" s="2"/>
    </row>
    <row r="2919" spans="1:20" x14ac:dyDescent="0.35">
      <c r="A2919" s="37"/>
      <c r="H2919" s="1"/>
      <c r="I2919" s="1"/>
      <c r="J2919" s="1"/>
      <c r="L2919" s="1"/>
      <c r="N2919" s="1"/>
      <c r="O2919" s="1"/>
      <c r="P2919" s="1"/>
      <c r="Q2919" s="1"/>
      <c r="T2919" s="1"/>
    </row>
    <row r="2920" spans="1:20" x14ac:dyDescent="0.35">
      <c r="A2920" s="37"/>
      <c r="H2920" s="1"/>
      <c r="I2920" s="1"/>
      <c r="J2920" s="1"/>
      <c r="L2920" s="1"/>
      <c r="O2920" s="1"/>
      <c r="P2920" s="1"/>
      <c r="Q2920" s="1"/>
      <c r="T2920" s="1"/>
    </row>
    <row r="2921" spans="1:20" x14ac:dyDescent="0.35">
      <c r="A2921" s="37"/>
      <c r="H2921" s="1"/>
      <c r="I2921" s="1"/>
      <c r="J2921" s="1"/>
      <c r="L2921" s="1"/>
      <c r="N2921" s="1"/>
      <c r="O2921" s="1"/>
      <c r="P2921" s="1"/>
      <c r="Q2921" s="1"/>
      <c r="T2921" s="2"/>
    </row>
    <row r="2922" spans="1:20" x14ac:dyDescent="0.35">
      <c r="A2922" s="37"/>
      <c r="H2922" s="1"/>
      <c r="I2922" s="1"/>
      <c r="J2922" s="1"/>
      <c r="L2922" s="1"/>
      <c r="N2922" s="1"/>
      <c r="O2922" s="1"/>
      <c r="P2922" s="1"/>
      <c r="Q2922" s="1"/>
      <c r="T2922" s="2"/>
    </row>
    <row r="2923" spans="1:20" x14ac:dyDescent="0.35">
      <c r="A2923" s="37"/>
      <c r="H2923" s="1"/>
      <c r="I2923" s="1"/>
      <c r="J2923" s="1"/>
      <c r="L2923" s="1"/>
      <c r="M2923" s="39"/>
      <c r="N2923" s="1"/>
      <c r="O2923" s="1"/>
      <c r="P2923" s="1"/>
      <c r="Q2923" s="1"/>
      <c r="T2923" s="2"/>
    </row>
    <row r="2924" spans="1:20" x14ac:dyDescent="0.35">
      <c r="A2924" s="37"/>
      <c r="H2924" s="1"/>
      <c r="I2924" s="1"/>
      <c r="J2924" s="1"/>
      <c r="L2924" s="1"/>
      <c r="O2924" s="1"/>
      <c r="P2924" s="1"/>
      <c r="Q2924" s="1"/>
      <c r="T2924" s="2"/>
    </row>
    <row r="2925" spans="1:20" x14ac:dyDescent="0.35">
      <c r="A2925" s="37"/>
      <c r="H2925" s="1"/>
      <c r="I2925" s="1"/>
      <c r="J2925" s="1"/>
      <c r="L2925" s="1"/>
      <c r="O2925" s="1"/>
      <c r="P2925" s="1"/>
      <c r="Q2925" s="1"/>
      <c r="T2925" s="2"/>
    </row>
    <row r="2926" spans="1:20" x14ac:dyDescent="0.35">
      <c r="A2926" s="37"/>
      <c r="H2926" s="1"/>
      <c r="I2926" s="1"/>
      <c r="J2926" s="1"/>
      <c r="L2926" s="1"/>
      <c r="N2926" s="1"/>
      <c r="O2926" s="1"/>
      <c r="P2926" s="1"/>
      <c r="Q2926" s="1"/>
      <c r="T2926" s="2"/>
    </row>
    <row r="2927" spans="1:20" x14ac:dyDescent="0.35">
      <c r="A2927" s="37"/>
      <c r="H2927" s="1"/>
      <c r="I2927" s="1"/>
      <c r="J2927" s="1"/>
      <c r="L2927" s="1"/>
      <c r="M2927" s="38"/>
      <c r="O2927" s="1"/>
      <c r="P2927" s="1"/>
      <c r="Q2927" s="1"/>
      <c r="T2927" s="1"/>
    </row>
    <row r="2928" spans="1:20" x14ac:dyDescent="0.35">
      <c r="A2928" s="37"/>
      <c r="H2928" s="1"/>
      <c r="I2928" s="1"/>
      <c r="J2928" s="1"/>
      <c r="L2928" s="1"/>
      <c r="O2928" s="1"/>
      <c r="P2928" s="1"/>
      <c r="Q2928" s="1"/>
      <c r="T2928" s="2"/>
    </row>
    <row r="2929" spans="1:20" x14ac:dyDescent="0.35">
      <c r="A2929" s="37"/>
      <c r="H2929" s="1"/>
      <c r="I2929" s="1"/>
      <c r="J2929" s="1"/>
      <c r="L2929" s="1"/>
      <c r="O2929" s="1"/>
      <c r="P2929" s="1"/>
      <c r="Q2929" s="1"/>
      <c r="T2929" s="2"/>
    </row>
    <row r="2930" spans="1:20" x14ac:dyDescent="0.35">
      <c r="A2930" s="37"/>
      <c r="H2930" s="1"/>
      <c r="I2930" s="1"/>
      <c r="J2930" s="1"/>
      <c r="L2930" s="1"/>
      <c r="O2930" s="1"/>
      <c r="P2930" s="1"/>
      <c r="Q2930" s="1"/>
      <c r="T2930" s="2"/>
    </row>
    <row r="2931" spans="1:20" x14ac:dyDescent="0.35">
      <c r="A2931" s="37"/>
      <c r="H2931" s="1"/>
      <c r="I2931" s="1"/>
      <c r="J2931" s="1"/>
      <c r="L2931" s="1"/>
      <c r="O2931" s="1"/>
      <c r="P2931" s="1"/>
      <c r="Q2931" s="1"/>
      <c r="T2931" s="2"/>
    </row>
    <row r="2932" spans="1:20" x14ac:dyDescent="0.35">
      <c r="A2932" s="37"/>
      <c r="H2932" s="1"/>
      <c r="I2932" s="1"/>
      <c r="J2932" s="1"/>
      <c r="L2932" s="1"/>
      <c r="O2932" s="1"/>
      <c r="P2932" s="1"/>
      <c r="Q2932" s="1"/>
      <c r="T2932" s="2"/>
    </row>
    <row r="2933" spans="1:20" x14ac:dyDescent="0.35">
      <c r="A2933" s="37"/>
      <c r="H2933" s="1"/>
      <c r="I2933" s="1"/>
      <c r="J2933" s="1"/>
      <c r="L2933" s="1"/>
      <c r="O2933" s="1"/>
      <c r="P2933" s="1"/>
      <c r="Q2933" s="1"/>
      <c r="T2933" s="2"/>
    </row>
    <row r="2934" spans="1:20" x14ac:dyDescent="0.35">
      <c r="A2934" s="37"/>
      <c r="H2934" s="1"/>
      <c r="I2934" s="1"/>
      <c r="J2934" s="1"/>
      <c r="L2934" s="1"/>
      <c r="O2934" s="1"/>
      <c r="P2934" s="1"/>
      <c r="Q2934" s="1"/>
      <c r="T2934" s="2"/>
    </row>
    <row r="2935" spans="1:20" x14ac:dyDescent="0.35">
      <c r="A2935" s="37"/>
      <c r="H2935" s="1"/>
      <c r="I2935" s="1"/>
      <c r="J2935" s="1"/>
      <c r="L2935" s="1"/>
      <c r="O2935" s="1"/>
      <c r="P2935" s="1"/>
      <c r="Q2935" s="1"/>
      <c r="T2935" s="2"/>
    </row>
    <row r="2936" spans="1:20" x14ac:dyDescent="0.35">
      <c r="A2936" s="37"/>
      <c r="H2936" s="1"/>
      <c r="I2936" s="1"/>
      <c r="J2936" s="1"/>
      <c r="L2936" s="1"/>
      <c r="O2936" s="1"/>
      <c r="P2936" s="1"/>
      <c r="Q2936" s="1"/>
      <c r="T2936" s="2"/>
    </row>
    <row r="2937" spans="1:20" x14ac:dyDescent="0.35">
      <c r="A2937" s="37"/>
      <c r="H2937" s="1"/>
      <c r="I2937" s="1"/>
      <c r="J2937" s="1"/>
      <c r="L2937" s="1"/>
      <c r="N2937" s="1"/>
      <c r="O2937" s="1"/>
      <c r="P2937" s="1"/>
      <c r="Q2937" s="1"/>
      <c r="T2937" s="1"/>
    </row>
    <row r="2938" spans="1:20" x14ac:dyDescent="0.35">
      <c r="A2938" s="37"/>
      <c r="H2938" s="1"/>
      <c r="I2938" s="1"/>
      <c r="J2938" s="1"/>
      <c r="L2938" s="1"/>
      <c r="M2938" s="38"/>
      <c r="O2938" s="1"/>
      <c r="P2938" s="1"/>
      <c r="Q2938" s="1"/>
      <c r="T2938" s="2"/>
    </row>
    <row r="2939" spans="1:20" x14ac:dyDescent="0.35">
      <c r="A2939" s="37"/>
      <c r="H2939" s="1"/>
      <c r="I2939" s="1"/>
      <c r="J2939" s="1"/>
      <c r="L2939" s="1"/>
      <c r="M2939" s="38"/>
      <c r="O2939" s="1"/>
      <c r="P2939" s="1"/>
      <c r="Q2939" s="1"/>
      <c r="T2939" s="2"/>
    </row>
    <row r="2940" spans="1:20" x14ac:dyDescent="0.35">
      <c r="A2940" s="37"/>
      <c r="H2940" s="1"/>
      <c r="I2940" s="1"/>
      <c r="J2940" s="1"/>
      <c r="L2940" s="1"/>
      <c r="M2940" s="38"/>
      <c r="O2940" s="1"/>
      <c r="P2940" s="1"/>
      <c r="Q2940" s="1"/>
      <c r="T2940" s="2"/>
    </row>
    <row r="2941" spans="1:20" x14ac:dyDescent="0.35">
      <c r="A2941" s="37"/>
      <c r="H2941" s="1"/>
      <c r="I2941" s="1"/>
      <c r="J2941" s="1"/>
      <c r="L2941" s="1"/>
      <c r="M2941" s="38"/>
      <c r="O2941" s="1"/>
      <c r="P2941" s="1"/>
      <c r="Q2941" s="1"/>
      <c r="T2941" s="2"/>
    </row>
    <row r="2942" spans="1:20" x14ac:dyDescent="0.35">
      <c r="A2942" s="37"/>
      <c r="H2942" s="1"/>
      <c r="I2942" s="1"/>
      <c r="J2942" s="1"/>
      <c r="L2942" s="1"/>
      <c r="M2942" s="38"/>
      <c r="O2942" s="1"/>
      <c r="P2942" s="1"/>
      <c r="Q2942" s="1"/>
      <c r="T2942" s="2"/>
    </row>
    <row r="2943" spans="1:20" x14ac:dyDescent="0.35">
      <c r="A2943" s="37"/>
      <c r="H2943" s="1"/>
      <c r="I2943" s="1"/>
      <c r="J2943" s="1"/>
      <c r="L2943" s="1"/>
      <c r="M2943" s="38"/>
      <c r="O2943" s="1"/>
      <c r="P2943" s="1"/>
      <c r="Q2943" s="1"/>
      <c r="T2943" s="2"/>
    </row>
    <row r="2944" spans="1:20" x14ac:dyDescent="0.35">
      <c r="A2944" s="37"/>
      <c r="H2944" s="1"/>
      <c r="I2944" s="1"/>
      <c r="J2944" s="1"/>
      <c r="L2944" s="1"/>
      <c r="M2944" s="38"/>
      <c r="O2944" s="1"/>
      <c r="P2944" s="1"/>
      <c r="Q2944" s="1"/>
      <c r="T2944" s="2"/>
    </row>
    <row r="2945" spans="1:20" x14ac:dyDescent="0.35">
      <c r="A2945" s="37"/>
      <c r="H2945" s="1"/>
      <c r="I2945" s="1"/>
      <c r="J2945" s="1"/>
      <c r="L2945" s="1"/>
      <c r="O2945" s="1"/>
      <c r="P2945" s="1"/>
      <c r="Q2945" s="1"/>
      <c r="T2945" s="2"/>
    </row>
    <row r="2946" spans="1:20" x14ac:dyDescent="0.35">
      <c r="A2946" s="37"/>
      <c r="H2946" s="1"/>
      <c r="I2946" s="1"/>
      <c r="J2946" s="1"/>
      <c r="L2946" s="1"/>
      <c r="O2946" s="1"/>
      <c r="P2946" s="1"/>
      <c r="Q2946" s="1"/>
      <c r="T2946" s="2"/>
    </row>
    <row r="2947" spans="1:20" x14ac:dyDescent="0.35">
      <c r="A2947" s="37"/>
      <c r="H2947" s="1"/>
      <c r="I2947" s="1"/>
      <c r="J2947" s="1"/>
      <c r="L2947" s="1"/>
      <c r="N2947" s="1"/>
      <c r="O2947" s="1"/>
      <c r="P2947" s="1"/>
      <c r="Q2947" s="1"/>
      <c r="T2947" s="1"/>
    </row>
    <row r="2948" spans="1:20" x14ac:dyDescent="0.35">
      <c r="A2948" s="37"/>
      <c r="H2948" s="1"/>
      <c r="I2948" s="1"/>
      <c r="J2948" s="1"/>
      <c r="L2948" s="1"/>
      <c r="N2948" s="1"/>
      <c r="O2948" s="1"/>
      <c r="P2948" s="1"/>
      <c r="Q2948" s="1"/>
      <c r="T2948" s="1"/>
    </row>
    <row r="2949" spans="1:20" x14ac:dyDescent="0.35">
      <c r="A2949" s="37"/>
      <c r="H2949" s="1"/>
      <c r="I2949" s="1"/>
      <c r="J2949" s="1"/>
      <c r="L2949" s="1"/>
      <c r="O2949" s="1"/>
      <c r="P2949" s="1"/>
      <c r="Q2949" s="1"/>
      <c r="T2949" s="2"/>
    </row>
    <row r="2950" spans="1:20" x14ac:dyDescent="0.35">
      <c r="A2950" s="37"/>
      <c r="H2950" s="1"/>
      <c r="I2950" s="1"/>
      <c r="J2950" s="1"/>
      <c r="L2950" s="1"/>
      <c r="O2950" s="1"/>
      <c r="P2950" s="1"/>
      <c r="Q2950" s="1"/>
      <c r="T2950" s="2"/>
    </row>
    <row r="2951" spans="1:20" x14ac:dyDescent="0.35">
      <c r="A2951" s="37"/>
      <c r="H2951" s="1"/>
      <c r="I2951" s="1"/>
      <c r="J2951" s="1"/>
      <c r="L2951" s="1"/>
      <c r="N2951" s="1"/>
      <c r="O2951" s="1"/>
      <c r="P2951" s="1"/>
      <c r="Q2951" s="1"/>
      <c r="T2951" s="1"/>
    </row>
    <row r="2952" spans="1:20" x14ac:dyDescent="0.35">
      <c r="A2952" s="37"/>
      <c r="H2952" s="1"/>
      <c r="I2952" s="1"/>
      <c r="J2952" s="1"/>
      <c r="L2952" s="1"/>
      <c r="N2952" s="1"/>
      <c r="O2952" s="1"/>
      <c r="P2952" s="1"/>
      <c r="Q2952" s="1"/>
      <c r="T2952" s="2"/>
    </row>
    <row r="2953" spans="1:20" x14ac:dyDescent="0.35">
      <c r="A2953" s="37"/>
      <c r="H2953" s="1"/>
      <c r="I2953" s="1"/>
      <c r="J2953" s="1"/>
      <c r="L2953" s="1"/>
      <c r="N2953" s="1"/>
      <c r="O2953" s="1"/>
      <c r="P2953" s="1"/>
      <c r="Q2953" s="1"/>
      <c r="T2953" s="2"/>
    </row>
    <row r="2954" spans="1:20" x14ac:dyDescent="0.35">
      <c r="A2954" s="37"/>
      <c r="H2954" s="1"/>
      <c r="I2954" s="1"/>
      <c r="J2954" s="1"/>
      <c r="L2954" s="1"/>
      <c r="N2954" s="1"/>
      <c r="O2954" s="1"/>
      <c r="P2954" s="1"/>
      <c r="Q2954" s="1"/>
      <c r="T2954" s="1"/>
    </row>
    <row r="2955" spans="1:20" x14ac:dyDescent="0.35">
      <c r="A2955" s="37"/>
      <c r="H2955" s="1"/>
      <c r="I2955" s="1"/>
      <c r="J2955" s="1"/>
      <c r="L2955" s="1"/>
      <c r="N2955" s="1"/>
      <c r="O2955" s="1"/>
      <c r="P2955" s="1"/>
      <c r="Q2955" s="1"/>
      <c r="T2955" s="1"/>
    </row>
    <row r="2956" spans="1:20" x14ac:dyDescent="0.35">
      <c r="A2956" s="37"/>
      <c r="H2956" s="1"/>
      <c r="I2956" s="1"/>
      <c r="J2956" s="1"/>
      <c r="L2956" s="1"/>
      <c r="N2956" s="1"/>
      <c r="O2956" s="1"/>
      <c r="P2956" s="1"/>
      <c r="Q2956" s="1"/>
      <c r="T2956" s="1"/>
    </row>
    <row r="2957" spans="1:20" x14ac:dyDescent="0.35">
      <c r="A2957" s="37"/>
      <c r="H2957" s="1"/>
      <c r="I2957" s="1"/>
      <c r="J2957" s="1"/>
      <c r="L2957" s="1"/>
      <c r="O2957" s="1"/>
      <c r="P2957" s="1"/>
      <c r="Q2957" s="1"/>
      <c r="T2957" s="2"/>
    </row>
    <row r="2958" spans="1:20" x14ac:dyDescent="0.35">
      <c r="A2958" s="37"/>
      <c r="H2958" s="1"/>
      <c r="I2958" s="1"/>
      <c r="J2958" s="1"/>
      <c r="L2958" s="1"/>
      <c r="N2958" s="1"/>
      <c r="O2958" s="1"/>
      <c r="P2958" s="1"/>
      <c r="Q2958" s="1"/>
      <c r="T2958" s="1"/>
    </row>
    <row r="2959" spans="1:20" x14ac:dyDescent="0.35">
      <c r="A2959" s="37"/>
      <c r="H2959" s="1"/>
      <c r="I2959" s="1"/>
      <c r="J2959" s="1"/>
      <c r="L2959" s="1"/>
      <c r="N2959" s="1"/>
      <c r="O2959" s="1"/>
      <c r="P2959" s="1"/>
      <c r="Q2959" s="1"/>
      <c r="T2959" s="1"/>
    </row>
    <row r="2960" spans="1:20" x14ac:dyDescent="0.35">
      <c r="A2960" s="37"/>
      <c r="H2960" s="1"/>
      <c r="I2960" s="1"/>
      <c r="J2960" s="1"/>
      <c r="L2960" s="1"/>
      <c r="M2960" s="38"/>
      <c r="O2960" s="1"/>
      <c r="P2960" s="1"/>
      <c r="Q2960" s="1"/>
      <c r="T2960" s="2"/>
    </row>
    <row r="2961" spans="1:20" x14ac:dyDescent="0.35">
      <c r="A2961" s="37"/>
      <c r="H2961" s="1"/>
      <c r="I2961" s="1"/>
      <c r="J2961" s="1"/>
      <c r="L2961" s="1"/>
      <c r="M2961" s="38"/>
      <c r="O2961" s="1"/>
      <c r="P2961" s="1"/>
      <c r="Q2961" s="1"/>
      <c r="T2961" s="2"/>
    </row>
    <row r="2962" spans="1:20" x14ac:dyDescent="0.35">
      <c r="A2962" s="37"/>
      <c r="H2962" s="1"/>
      <c r="I2962" s="1"/>
      <c r="J2962" s="1"/>
      <c r="L2962" s="1"/>
      <c r="M2962" s="38"/>
      <c r="O2962" s="1"/>
      <c r="P2962" s="1"/>
      <c r="Q2962" s="1"/>
      <c r="T2962" s="2"/>
    </row>
    <row r="2963" spans="1:20" x14ac:dyDescent="0.35">
      <c r="A2963" s="37"/>
      <c r="H2963" s="1"/>
      <c r="I2963" s="1"/>
      <c r="J2963" s="1"/>
      <c r="L2963" s="1"/>
      <c r="M2963" s="38"/>
      <c r="O2963" s="1"/>
      <c r="P2963" s="1"/>
      <c r="Q2963" s="1"/>
      <c r="T2963" s="2"/>
    </row>
    <row r="2964" spans="1:20" x14ac:dyDescent="0.35">
      <c r="A2964" s="37"/>
      <c r="H2964" s="1"/>
      <c r="I2964" s="1"/>
      <c r="J2964" s="1"/>
      <c r="L2964" s="1"/>
      <c r="M2964" s="39"/>
      <c r="O2964" s="1"/>
      <c r="P2964" s="1"/>
      <c r="Q2964" s="1"/>
      <c r="T2964" s="2"/>
    </row>
    <row r="2965" spans="1:20" x14ac:dyDescent="0.35">
      <c r="A2965" s="37"/>
      <c r="H2965" s="1"/>
      <c r="I2965" s="1"/>
      <c r="J2965" s="1"/>
      <c r="L2965" s="1"/>
      <c r="M2965" s="39"/>
      <c r="O2965" s="1"/>
      <c r="P2965" s="1"/>
      <c r="Q2965" s="1"/>
      <c r="T2965" s="2"/>
    </row>
    <row r="2966" spans="1:20" x14ac:dyDescent="0.35">
      <c r="A2966" s="37"/>
      <c r="H2966" s="1"/>
      <c r="I2966" s="1"/>
      <c r="J2966" s="1"/>
      <c r="L2966" s="1"/>
      <c r="M2966" s="39"/>
      <c r="O2966" s="1"/>
      <c r="P2966" s="1"/>
      <c r="Q2966" s="1"/>
      <c r="T2966" s="2"/>
    </row>
    <row r="2967" spans="1:20" x14ac:dyDescent="0.35">
      <c r="A2967" s="37"/>
      <c r="H2967" s="1"/>
      <c r="I2967" s="1"/>
      <c r="J2967" s="1"/>
      <c r="L2967" s="1"/>
      <c r="N2967" s="1"/>
      <c r="O2967" s="1"/>
      <c r="P2967" s="1"/>
      <c r="Q2967" s="1"/>
      <c r="T2967" s="1"/>
    </row>
    <row r="2968" spans="1:20" x14ac:dyDescent="0.35">
      <c r="A2968" s="37"/>
      <c r="H2968" s="1"/>
      <c r="I2968" s="1"/>
      <c r="J2968" s="1"/>
      <c r="L2968" s="1"/>
      <c r="N2968" s="1"/>
      <c r="O2968" s="1"/>
      <c r="P2968" s="1"/>
      <c r="Q2968" s="1"/>
      <c r="T2968" s="2"/>
    </row>
    <row r="2969" spans="1:20" x14ac:dyDescent="0.35">
      <c r="A2969" s="37"/>
      <c r="H2969" s="1"/>
      <c r="I2969" s="1"/>
      <c r="J2969" s="1"/>
      <c r="L2969" s="1"/>
      <c r="N2969" s="1"/>
      <c r="O2969" s="1"/>
      <c r="P2969" s="1"/>
      <c r="Q2969" s="1"/>
      <c r="T2969" s="1"/>
    </row>
    <row r="2970" spans="1:20" x14ac:dyDescent="0.35">
      <c r="A2970" s="37"/>
      <c r="H2970" s="1"/>
      <c r="I2970" s="1"/>
      <c r="J2970" s="1"/>
      <c r="L2970" s="1"/>
      <c r="O2970" s="1"/>
      <c r="P2970" s="1"/>
      <c r="Q2970" s="1"/>
      <c r="T2970" s="1"/>
    </row>
    <row r="2971" spans="1:20" x14ac:dyDescent="0.35">
      <c r="A2971" s="37"/>
      <c r="H2971" s="1"/>
      <c r="I2971" s="1"/>
      <c r="J2971" s="1"/>
      <c r="L2971" s="1"/>
      <c r="O2971" s="1"/>
      <c r="P2971" s="1"/>
      <c r="Q2971" s="1"/>
      <c r="T2971" s="2"/>
    </row>
    <row r="2972" spans="1:20" x14ac:dyDescent="0.35">
      <c r="A2972" s="37"/>
      <c r="H2972" s="1"/>
      <c r="I2972" s="1"/>
      <c r="J2972" s="1"/>
      <c r="L2972" s="1"/>
      <c r="O2972" s="1"/>
      <c r="P2972" s="1"/>
      <c r="Q2972" s="1"/>
      <c r="T2972" s="2"/>
    </row>
    <row r="2973" spans="1:20" x14ac:dyDescent="0.35">
      <c r="A2973" s="37"/>
      <c r="H2973" s="1"/>
      <c r="I2973" s="1"/>
      <c r="J2973" s="1"/>
      <c r="L2973" s="1"/>
      <c r="N2973" s="1"/>
      <c r="O2973" s="1"/>
      <c r="P2973" s="1"/>
      <c r="Q2973" s="1"/>
      <c r="T2973" s="1"/>
    </row>
    <row r="2974" spans="1:20" x14ac:dyDescent="0.35">
      <c r="A2974" s="37"/>
      <c r="H2974" s="1"/>
      <c r="I2974" s="1"/>
      <c r="J2974" s="1"/>
      <c r="L2974" s="1"/>
      <c r="O2974" s="1"/>
      <c r="P2974" s="1"/>
      <c r="Q2974" s="1"/>
      <c r="T2974" s="2"/>
    </row>
    <row r="2975" spans="1:20" x14ac:dyDescent="0.35">
      <c r="A2975" s="37"/>
      <c r="H2975" s="1"/>
      <c r="I2975" s="1"/>
      <c r="J2975" s="1"/>
      <c r="L2975" s="1"/>
      <c r="O2975" s="1"/>
      <c r="P2975" s="1"/>
      <c r="Q2975" s="1"/>
      <c r="T2975" s="2"/>
    </row>
    <row r="2976" spans="1:20" x14ac:dyDescent="0.35">
      <c r="A2976" s="37"/>
      <c r="H2976" s="1"/>
      <c r="I2976" s="1"/>
      <c r="J2976" s="1"/>
      <c r="L2976" s="1"/>
      <c r="N2976" s="1"/>
      <c r="O2976" s="1"/>
      <c r="P2976" s="1"/>
      <c r="Q2976" s="1"/>
      <c r="T2976" s="1"/>
    </row>
    <row r="2977" spans="1:20" x14ac:dyDescent="0.35">
      <c r="A2977" s="37"/>
      <c r="H2977" s="1"/>
      <c r="I2977" s="1"/>
      <c r="J2977" s="1"/>
      <c r="L2977" s="1"/>
      <c r="N2977" s="1"/>
      <c r="O2977" s="1"/>
      <c r="P2977" s="1"/>
      <c r="Q2977" s="1"/>
      <c r="T2977" s="1"/>
    </row>
    <row r="2978" spans="1:20" x14ac:dyDescent="0.35">
      <c r="A2978" s="37"/>
      <c r="H2978" s="1"/>
      <c r="I2978" s="1"/>
      <c r="J2978" s="1"/>
      <c r="L2978" s="1"/>
      <c r="O2978" s="1"/>
      <c r="P2978" s="1"/>
      <c r="Q2978" s="1"/>
      <c r="T2978" s="2"/>
    </row>
    <row r="2979" spans="1:20" x14ac:dyDescent="0.35">
      <c r="A2979" s="37"/>
      <c r="H2979" s="1"/>
      <c r="I2979" s="1"/>
      <c r="J2979" s="1"/>
      <c r="L2979" s="1"/>
      <c r="O2979" s="1"/>
      <c r="P2979" s="1"/>
      <c r="Q2979" s="1"/>
      <c r="T2979" s="2"/>
    </row>
    <row r="2980" spans="1:20" x14ac:dyDescent="0.35">
      <c r="A2980" s="37"/>
      <c r="H2980" s="1"/>
      <c r="I2980" s="1"/>
      <c r="J2980" s="1"/>
      <c r="L2980" s="1"/>
      <c r="O2980" s="1"/>
      <c r="P2980" s="1"/>
      <c r="Q2980" s="1"/>
      <c r="T2980" s="2"/>
    </row>
    <row r="2981" spans="1:20" x14ac:dyDescent="0.35">
      <c r="A2981" s="37"/>
      <c r="H2981" s="1"/>
      <c r="I2981" s="1"/>
      <c r="J2981" s="1"/>
      <c r="L2981" s="1"/>
      <c r="O2981" s="1"/>
      <c r="P2981" s="1"/>
      <c r="Q2981" s="1"/>
      <c r="T2981" s="2"/>
    </row>
    <row r="2982" spans="1:20" x14ac:dyDescent="0.35">
      <c r="A2982" s="37"/>
      <c r="H2982" s="1"/>
      <c r="I2982" s="1"/>
      <c r="J2982" s="1"/>
      <c r="L2982" s="1"/>
      <c r="O2982" s="1"/>
      <c r="P2982" s="1"/>
      <c r="Q2982" s="1"/>
      <c r="T2982" s="2"/>
    </row>
    <row r="2983" spans="1:20" x14ac:dyDescent="0.35">
      <c r="A2983" s="37"/>
      <c r="H2983" s="1"/>
      <c r="I2983" s="1"/>
      <c r="J2983" s="1"/>
      <c r="L2983" s="1"/>
      <c r="O2983" s="1"/>
      <c r="P2983" s="1"/>
      <c r="Q2983" s="1"/>
      <c r="T2983" s="2"/>
    </row>
    <row r="2984" spans="1:20" x14ac:dyDescent="0.35">
      <c r="A2984" s="37"/>
      <c r="H2984" s="1"/>
      <c r="I2984" s="1"/>
      <c r="J2984" s="1"/>
      <c r="L2984" s="1"/>
      <c r="O2984" s="1"/>
      <c r="P2984" s="1"/>
      <c r="Q2984" s="1"/>
      <c r="T2984" s="2"/>
    </row>
    <row r="2985" spans="1:20" x14ac:dyDescent="0.35">
      <c r="A2985" s="37"/>
      <c r="H2985" s="1"/>
      <c r="I2985" s="1"/>
      <c r="J2985" s="1"/>
      <c r="L2985" s="1"/>
      <c r="O2985" s="1"/>
      <c r="P2985" s="1"/>
      <c r="Q2985" s="1"/>
      <c r="T2985" s="2"/>
    </row>
    <row r="2986" spans="1:20" x14ac:dyDescent="0.35">
      <c r="A2986" s="37"/>
      <c r="H2986" s="1"/>
      <c r="I2986" s="1"/>
      <c r="J2986" s="1"/>
      <c r="L2986" s="1"/>
      <c r="O2986" s="1"/>
      <c r="P2986" s="1"/>
      <c r="Q2986" s="1"/>
      <c r="T2986" s="1"/>
    </row>
    <row r="2987" spans="1:20" x14ac:dyDescent="0.35">
      <c r="A2987" s="37"/>
      <c r="H2987" s="1"/>
      <c r="I2987" s="1"/>
      <c r="J2987" s="1"/>
      <c r="L2987" s="1"/>
      <c r="O2987" s="1"/>
      <c r="P2987" s="1"/>
      <c r="Q2987" s="1"/>
      <c r="T2987" s="2"/>
    </row>
    <row r="2988" spans="1:20" x14ac:dyDescent="0.35">
      <c r="A2988" s="37"/>
      <c r="H2988" s="7"/>
      <c r="I2988" s="7"/>
      <c r="J2988" s="7"/>
      <c r="L2988" s="7"/>
      <c r="M2988" s="40"/>
      <c r="N2988" s="1"/>
      <c r="O2988" s="1"/>
      <c r="P2988" s="1"/>
      <c r="Q2988" s="1"/>
      <c r="T2988" s="2"/>
    </row>
    <row r="2989" spans="1:20" x14ac:dyDescent="0.35">
      <c r="A2989" s="37"/>
      <c r="H2989" s="7"/>
      <c r="I2989" s="7"/>
      <c r="J2989" s="7"/>
      <c r="L2989" s="7"/>
      <c r="M2989" s="40"/>
      <c r="N2989" s="1"/>
      <c r="O2989" s="1"/>
      <c r="P2989" s="1"/>
      <c r="Q2989" s="1"/>
      <c r="T2989" s="2"/>
    </row>
    <row r="2990" spans="1:20" x14ac:dyDescent="0.35">
      <c r="A2990" s="37"/>
      <c r="H2990" s="7"/>
      <c r="I2990" s="7"/>
      <c r="J2990" s="7"/>
      <c r="L2990" s="7"/>
      <c r="M2990" s="40"/>
      <c r="N2990" s="1"/>
      <c r="O2990" s="1"/>
      <c r="P2990" s="1"/>
      <c r="Q2990" s="1"/>
      <c r="T2990" s="2"/>
    </row>
    <row r="2991" spans="1:20" x14ac:dyDescent="0.35">
      <c r="A2991" s="37"/>
      <c r="H2991" s="1"/>
      <c r="I2991" s="1"/>
      <c r="J2991" s="1"/>
      <c r="L2991" s="1"/>
      <c r="M2991" s="39"/>
      <c r="N2991" s="1"/>
      <c r="O2991" s="1"/>
      <c r="P2991" s="1"/>
      <c r="Q2991" s="1"/>
      <c r="T2991" s="1"/>
    </row>
    <row r="2992" spans="1:20" x14ac:dyDescent="0.35">
      <c r="A2992" s="37"/>
      <c r="H2992" s="1"/>
      <c r="I2992" s="1"/>
      <c r="J2992" s="1"/>
      <c r="L2992" s="1"/>
      <c r="N2992" s="1"/>
      <c r="O2992" s="1"/>
      <c r="P2992" s="1"/>
      <c r="Q2992" s="1"/>
      <c r="T2992" s="2"/>
    </row>
    <row r="2993" spans="1:20" x14ac:dyDescent="0.35">
      <c r="A2993" s="37"/>
      <c r="H2993" s="1"/>
      <c r="I2993" s="1"/>
      <c r="J2993" s="1"/>
      <c r="L2993" s="1"/>
      <c r="M2993" s="38"/>
      <c r="O2993" s="1"/>
      <c r="P2993" s="1"/>
      <c r="Q2993" s="1"/>
      <c r="T2993" s="2"/>
    </row>
    <row r="2994" spans="1:20" x14ac:dyDescent="0.35">
      <c r="A2994" s="37"/>
      <c r="H2994" s="1"/>
      <c r="I2994" s="1"/>
      <c r="J2994" s="1"/>
      <c r="L2994" s="1"/>
      <c r="M2994" s="38"/>
      <c r="O2994" s="1"/>
      <c r="P2994" s="1"/>
      <c r="Q2994" s="1"/>
      <c r="T2994" s="2"/>
    </row>
    <row r="2995" spans="1:20" x14ac:dyDescent="0.35">
      <c r="A2995" s="37"/>
      <c r="H2995" s="1"/>
      <c r="I2995" s="1"/>
      <c r="J2995" s="1"/>
      <c r="L2995" s="1"/>
      <c r="O2995" s="1"/>
      <c r="P2995" s="1"/>
      <c r="Q2995" s="1"/>
      <c r="T2995" s="2"/>
    </row>
    <row r="2996" spans="1:20" x14ac:dyDescent="0.35">
      <c r="A2996" s="37"/>
      <c r="H2996" s="1"/>
      <c r="I2996" s="1"/>
      <c r="J2996" s="1"/>
      <c r="L2996" s="1"/>
      <c r="N2996" s="1"/>
      <c r="O2996" s="1"/>
      <c r="P2996" s="1"/>
      <c r="Q2996" s="1"/>
      <c r="T2996" s="1"/>
    </row>
    <row r="2997" spans="1:20" x14ac:dyDescent="0.35">
      <c r="A2997" s="37"/>
      <c r="H2997" s="1"/>
      <c r="I2997" s="1"/>
      <c r="J2997" s="1"/>
      <c r="L2997" s="1"/>
      <c r="N2997" s="1"/>
      <c r="O2997" s="1"/>
      <c r="P2997" s="1"/>
      <c r="Q2997" s="1"/>
      <c r="T2997" s="2"/>
    </row>
    <row r="2998" spans="1:20" x14ac:dyDescent="0.35">
      <c r="A2998" s="37"/>
      <c r="H2998" s="1"/>
      <c r="I2998" s="1"/>
      <c r="J2998" s="1"/>
      <c r="L2998" s="1"/>
      <c r="N2998" s="1"/>
      <c r="O2998" s="1"/>
      <c r="P2998" s="1"/>
      <c r="Q2998" s="1"/>
      <c r="T2998" s="1"/>
    </row>
    <row r="2999" spans="1:20" x14ac:dyDescent="0.35">
      <c r="A2999" s="37"/>
      <c r="H2999" s="1"/>
      <c r="I2999" s="1"/>
      <c r="J2999" s="1"/>
      <c r="L2999" s="1"/>
      <c r="N2999" s="1"/>
      <c r="O2999" s="1"/>
      <c r="P2999" s="1"/>
      <c r="Q2999" s="1"/>
      <c r="T2999" s="1"/>
    </row>
    <row r="3000" spans="1:20" x14ac:dyDescent="0.35">
      <c r="A3000" s="37"/>
      <c r="H3000" s="1"/>
      <c r="I3000" s="1"/>
      <c r="J3000" s="1"/>
      <c r="L3000" s="1"/>
      <c r="N3000" s="1"/>
      <c r="O3000" s="1"/>
      <c r="P3000" s="1"/>
      <c r="Q3000" s="1"/>
      <c r="T3000" s="1"/>
    </row>
    <row r="3001" spans="1:20" x14ac:dyDescent="0.35">
      <c r="A3001" s="37"/>
      <c r="H3001" s="1"/>
      <c r="I3001" s="1"/>
      <c r="J3001" s="1"/>
      <c r="L3001" s="1"/>
      <c r="N3001" s="1"/>
      <c r="O3001" s="1"/>
      <c r="P3001" s="1"/>
      <c r="Q3001" s="1"/>
      <c r="T3001" s="1"/>
    </row>
    <row r="3002" spans="1:20" x14ac:dyDescent="0.35">
      <c r="A3002" s="37"/>
      <c r="H3002" s="1"/>
      <c r="I3002" s="1"/>
      <c r="J3002" s="1"/>
      <c r="L3002" s="1"/>
      <c r="N3002" s="1"/>
      <c r="O3002" s="1"/>
      <c r="P3002" s="1"/>
      <c r="Q3002" s="1"/>
      <c r="T3002" s="2"/>
    </row>
    <row r="3003" spans="1:20" x14ac:dyDescent="0.35">
      <c r="A3003" s="37"/>
      <c r="H3003" s="1"/>
      <c r="I3003" s="1"/>
      <c r="J3003" s="1"/>
      <c r="L3003" s="1"/>
      <c r="N3003" s="1"/>
      <c r="O3003" s="1"/>
      <c r="P3003" s="1"/>
      <c r="Q3003" s="1"/>
      <c r="T3003" s="2"/>
    </row>
    <row r="3004" spans="1:20" x14ac:dyDescent="0.35">
      <c r="A3004" s="37"/>
      <c r="H3004" s="1"/>
      <c r="I3004" s="1"/>
      <c r="J3004" s="1"/>
      <c r="L3004" s="1"/>
      <c r="N3004" s="1"/>
      <c r="O3004" s="1"/>
      <c r="P3004" s="1"/>
      <c r="Q3004" s="1"/>
      <c r="T3004" s="1"/>
    </row>
    <row r="3005" spans="1:20" x14ac:dyDescent="0.35">
      <c r="A3005" s="37"/>
      <c r="H3005" s="1"/>
      <c r="I3005" s="1"/>
      <c r="J3005" s="1"/>
      <c r="L3005" s="1"/>
      <c r="N3005" s="1"/>
      <c r="O3005" s="1"/>
      <c r="P3005" s="1"/>
      <c r="Q3005" s="1"/>
      <c r="T3005" s="1"/>
    </row>
    <row r="3006" spans="1:20" x14ac:dyDescent="0.35">
      <c r="A3006" s="37"/>
      <c r="H3006" s="1"/>
      <c r="I3006" s="1"/>
      <c r="J3006" s="1"/>
      <c r="L3006" s="1"/>
      <c r="N3006" s="1"/>
      <c r="O3006" s="1"/>
      <c r="P3006" s="1"/>
      <c r="Q3006" s="1"/>
      <c r="T3006" s="2"/>
    </row>
    <row r="3007" spans="1:20" x14ac:dyDescent="0.35">
      <c r="A3007" s="37"/>
      <c r="H3007" s="1"/>
      <c r="I3007" s="1"/>
      <c r="J3007" s="1"/>
      <c r="L3007" s="1"/>
      <c r="N3007" s="1"/>
      <c r="O3007" s="1"/>
      <c r="P3007" s="1"/>
      <c r="Q3007" s="1"/>
      <c r="T3007" s="1"/>
    </row>
    <row r="3008" spans="1:20" x14ac:dyDescent="0.35">
      <c r="A3008" s="37"/>
      <c r="H3008" s="1"/>
      <c r="I3008" s="1"/>
      <c r="J3008" s="1"/>
      <c r="L3008" s="1"/>
      <c r="N3008" s="1"/>
      <c r="O3008" s="1"/>
      <c r="P3008" s="1"/>
      <c r="Q3008" s="1"/>
      <c r="T3008" s="1"/>
    </row>
    <row r="3009" spans="1:20" x14ac:dyDescent="0.35">
      <c r="A3009" s="37"/>
      <c r="H3009" s="1"/>
      <c r="I3009" s="1"/>
      <c r="J3009" s="1"/>
      <c r="L3009" s="1"/>
      <c r="N3009" s="1"/>
      <c r="O3009" s="1"/>
      <c r="P3009" s="1"/>
      <c r="Q3009" s="1"/>
      <c r="T3009" s="1"/>
    </row>
    <row r="3010" spans="1:20" x14ac:dyDescent="0.35">
      <c r="A3010" s="37"/>
      <c r="H3010" s="1"/>
      <c r="I3010" s="1"/>
      <c r="J3010" s="1"/>
      <c r="L3010" s="1"/>
      <c r="N3010" s="1"/>
      <c r="O3010" s="1"/>
      <c r="P3010" s="1"/>
      <c r="Q3010" s="1"/>
      <c r="T3010" s="2"/>
    </row>
    <row r="3011" spans="1:20" x14ac:dyDescent="0.35">
      <c r="A3011" s="37"/>
      <c r="H3011" s="1"/>
      <c r="I3011" s="1"/>
      <c r="J3011" s="1"/>
      <c r="L3011" s="1"/>
      <c r="N3011" s="1"/>
      <c r="O3011" s="1"/>
      <c r="P3011" s="1"/>
      <c r="Q3011" s="1"/>
      <c r="T3011" s="2"/>
    </row>
    <row r="3012" spans="1:20" x14ac:dyDescent="0.35">
      <c r="A3012" s="37"/>
      <c r="H3012" s="1"/>
      <c r="I3012" s="1"/>
      <c r="J3012" s="1"/>
      <c r="L3012" s="1"/>
      <c r="N3012" s="1"/>
      <c r="O3012" s="1"/>
      <c r="P3012" s="1"/>
      <c r="Q3012" s="1"/>
      <c r="T3012" s="1"/>
    </row>
    <row r="3013" spans="1:20" x14ac:dyDescent="0.35">
      <c r="A3013" s="37"/>
      <c r="H3013" s="1"/>
      <c r="I3013" s="1"/>
      <c r="J3013" s="1"/>
      <c r="L3013" s="1"/>
      <c r="N3013" s="1"/>
      <c r="O3013" s="1"/>
      <c r="P3013" s="1"/>
      <c r="Q3013" s="1"/>
      <c r="T3013" s="2"/>
    </row>
    <row r="3014" spans="1:20" x14ac:dyDescent="0.35">
      <c r="A3014" s="37"/>
      <c r="H3014" s="1"/>
      <c r="I3014" s="1"/>
      <c r="J3014" s="1"/>
      <c r="L3014" s="1"/>
      <c r="N3014" s="1"/>
      <c r="O3014" s="1"/>
      <c r="P3014" s="1"/>
      <c r="Q3014" s="1"/>
      <c r="T3014" s="2"/>
    </row>
    <row r="3015" spans="1:20" x14ac:dyDescent="0.35">
      <c r="A3015" s="37"/>
      <c r="H3015" s="1"/>
      <c r="I3015" s="1"/>
      <c r="J3015" s="1"/>
      <c r="L3015" s="1"/>
      <c r="N3015" s="1"/>
      <c r="O3015" s="1"/>
      <c r="P3015" s="1"/>
      <c r="Q3015" s="1"/>
      <c r="T3015" s="2"/>
    </row>
    <row r="3016" spans="1:20" x14ac:dyDescent="0.35">
      <c r="A3016" s="37"/>
      <c r="H3016" s="1"/>
      <c r="I3016" s="1"/>
      <c r="J3016" s="1"/>
      <c r="L3016" s="1"/>
      <c r="O3016" s="1"/>
      <c r="P3016" s="1"/>
      <c r="Q3016" s="1"/>
      <c r="T3016" s="2"/>
    </row>
    <row r="3017" spans="1:20" x14ac:dyDescent="0.35">
      <c r="A3017" s="37"/>
      <c r="H3017" s="1"/>
      <c r="I3017" s="1"/>
      <c r="J3017" s="1"/>
      <c r="L3017" s="1"/>
      <c r="M3017" s="39"/>
      <c r="O3017" s="1"/>
      <c r="P3017" s="1"/>
      <c r="Q3017" s="1"/>
      <c r="T3017" s="2"/>
    </row>
    <row r="3018" spans="1:20" x14ac:dyDescent="0.35">
      <c r="A3018" s="37"/>
      <c r="H3018" s="1"/>
      <c r="I3018" s="1"/>
      <c r="J3018" s="1"/>
      <c r="L3018" s="1"/>
      <c r="O3018" s="1"/>
      <c r="P3018" s="1"/>
      <c r="Q3018" s="1"/>
      <c r="T3018" s="2"/>
    </row>
    <row r="3019" spans="1:20" x14ac:dyDescent="0.35">
      <c r="A3019" s="37"/>
      <c r="H3019" s="1"/>
      <c r="I3019" s="1"/>
      <c r="J3019" s="1"/>
      <c r="L3019" s="1"/>
      <c r="M3019" s="39"/>
      <c r="O3019" s="1"/>
      <c r="P3019" s="1"/>
      <c r="Q3019" s="1"/>
      <c r="T3019" s="1"/>
    </row>
    <row r="3020" spans="1:20" x14ac:dyDescent="0.35">
      <c r="A3020" s="37"/>
      <c r="H3020" s="1"/>
      <c r="I3020" s="1"/>
      <c r="J3020" s="1"/>
      <c r="L3020" s="1"/>
      <c r="O3020" s="1"/>
      <c r="P3020" s="1"/>
      <c r="Q3020" s="1"/>
      <c r="T3020" s="2"/>
    </row>
    <row r="3021" spans="1:20" x14ac:dyDescent="0.35">
      <c r="A3021" s="37"/>
      <c r="H3021" s="1"/>
      <c r="I3021" s="1"/>
      <c r="J3021" s="1"/>
      <c r="L3021" s="1"/>
      <c r="O3021" s="1"/>
      <c r="P3021" s="1"/>
      <c r="Q3021" s="1"/>
      <c r="T3021" s="2"/>
    </row>
    <row r="3022" spans="1:20" x14ac:dyDescent="0.35">
      <c r="A3022" s="37"/>
      <c r="H3022" s="1"/>
      <c r="I3022" s="1"/>
      <c r="J3022" s="1"/>
      <c r="L3022" s="1"/>
      <c r="O3022" s="1"/>
      <c r="P3022" s="1"/>
      <c r="Q3022" s="1"/>
      <c r="T3022" s="2"/>
    </row>
    <row r="3023" spans="1:20" x14ac:dyDescent="0.35">
      <c r="A3023" s="37"/>
      <c r="H3023" s="1"/>
      <c r="I3023" s="1"/>
      <c r="J3023" s="1"/>
      <c r="L3023" s="1"/>
      <c r="O3023" s="1"/>
      <c r="P3023" s="1"/>
      <c r="Q3023" s="1"/>
      <c r="T3023" s="2"/>
    </row>
    <row r="3024" spans="1:20" x14ac:dyDescent="0.35">
      <c r="A3024" s="37"/>
      <c r="H3024" s="1"/>
      <c r="I3024" s="1"/>
      <c r="J3024" s="1"/>
      <c r="L3024" s="1"/>
      <c r="O3024" s="1"/>
      <c r="P3024" s="1"/>
      <c r="Q3024" s="1"/>
      <c r="T3024" s="2"/>
    </row>
    <row r="3025" spans="1:20" x14ac:dyDescent="0.35">
      <c r="A3025" s="37"/>
      <c r="H3025" s="7"/>
      <c r="I3025" s="7"/>
      <c r="J3025" s="7"/>
      <c r="L3025" s="7"/>
      <c r="M3025" s="40"/>
      <c r="O3025" s="1"/>
      <c r="P3025" s="1"/>
      <c r="Q3025" s="1"/>
      <c r="T3025" s="2"/>
    </row>
    <row r="3026" spans="1:20" x14ac:dyDescent="0.35">
      <c r="A3026" s="37"/>
      <c r="H3026" s="7"/>
      <c r="I3026" s="7"/>
      <c r="J3026" s="7"/>
      <c r="L3026" s="7"/>
      <c r="M3026" s="40"/>
      <c r="O3026" s="1"/>
      <c r="P3026" s="1"/>
      <c r="Q3026" s="1"/>
      <c r="T3026" s="2"/>
    </row>
    <row r="3027" spans="1:20" x14ac:dyDescent="0.35">
      <c r="A3027" s="37"/>
      <c r="H3027" s="7"/>
      <c r="I3027" s="7"/>
      <c r="J3027" s="7"/>
      <c r="L3027" s="7"/>
      <c r="M3027" s="40"/>
      <c r="O3027" s="1"/>
      <c r="P3027" s="1"/>
      <c r="Q3027" s="1"/>
      <c r="T3027" s="2"/>
    </row>
    <row r="3028" spans="1:20" x14ac:dyDescent="0.35">
      <c r="A3028" s="37"/>
      <c r="H3028" s="1"/>
      <c r="I3028" s="1"/>
      <c r="J3028" s="1"/>
      <c r="L3028" s="1"/>
      <c r="N3028" s="1"/>
      <c r="O3028" s="1"/>
      <c r="P3028" s="1"/>
      <c r="Q3028" s="1"/>
      <c r="T3028" s="1"/>
    </row>
    <row r="3029" spans="1:20" x14ac:dyDescent="0.35">
      <c r="A3029" s="37"/>
      <c r="H3029" s="1"/>
      <c r="I3029" s="1"/>
      <c r="J3029" s="1"/>
      <c r="L3029" s="1"/>
      <c r="O3029" s="1"/>
      <c r="P3029" s="1"/>
      <c r="Q3029" s="1"/>
      <c r="T3029" s="2"/>
    </row>
    <row r="3030" spans="1:20" x14ac:dyDescent="0.35">
      <c r="A3030" s="37"/>
      <c r="H3030" s="1"/>
      <c r="I3030" s="1"/>
      <c r="J3030" s="1"/>
      <c r="L3030" s="1"/>
      <c r="O3030" s="1"/>
      <c r="P3030" s="1"/>
      <c r="Q3030" s="1"/>
      <c r="T3030" s="2"/>
    </row>
    <row r="3031" spans="1:20" x14ac:dyDescent="0.35">
      <c r="A3031" s="37"/>
      <c r="H3031" s="1"/>
      <c r="I3031" s="1"/>
      <c r="J3031" s="1"/>
      <c r="L3031" s="1"/>
      <c r="N3031" s="1"/>
      <c r="O3031" s="1"/>
      <c r="P3031" s="1"/>
      <c r="Q3031" s="1"/>
      <c r="T3031" s="1"/>
    </row>
    <row r="3032" spans="1:20" x14ac:dyDescent="0.35">
      <c r="A3032" s="37"/>
      <c r="H3032" s="1"/>
      <c r="I3032" s="1"/>
      <c r="J3032" s="1"/>
      <c r="L3032" s="1"/>
      <c r="N3032" s="1"/>
      <c r="O3032" s="1"/>
      <c r="P3032" s="1"/>
      <c r="Q3032" s="1"/>
      <c r="T3032" s="1"/>
    </row>
    <row r="3033" spans="1:20" x14ac:dyDescent="0.35">
      <c r="A3033" s="37"/>
      <c r="H3033" s="1"/>
      <c r="I3033" s="1"/>
      <c r="J3033" s="1"/>
      <c r="L3033" s="1"/>
      <c r="N3033" s="1"/>
      <c r="O3033" s="1"/>
      <c r="P3033" s="1"/>
      <c r="Q3033" s="1"/>
      <c r="T3033" s="1"/>
    </row>
    <row r="3034" spans="1:20" x14ac:dyDescent="0.35">
      <c r="A3034" s="37"/>
      <c r="H3034" s="1"/>
      <c r="I3034" s="1"/>
      <c r="J3034" s="1"/>
      <c r="L3034" s="1"/>
      <c r="M3034" s="39"/>
      <c r="O3034" s="1"/>
      <c r="P3034" s="1"/>
      <c r="Q3034" s="1"/>
      <c r="T3034" s="2"/>
    </row>
    <row r="3035" spans="1:20" x14ac:dyDescent="0.35">
      <c r="A3035" s="37"/>
      <c r="H3035" s="1"/>
      <c r="I3035" s="1"/>
      <c r="J3035" s="1"/>
      <c r="L3035" s="1"/>
      <c r="N3035" s="1"/>
      <c r="O3035" s="1"/>
      <c r="P3035" s="1"/>
      <c r="Q3035" s="1"/>
      <c r="T3035" s="1"/>
    </row>
    <row r="3036" spans="1:20" x14ac:dyDescent="0.35">
      <c r="A3036" s="37"/>
      <c r="H3036" s="1"/>
      <c r="I3036" s="1"/>
      <c r="J3036" s="1"/>
      <c r="L3036" s="1"/>
      <c r="N3036" s="1"/>
      <c r="O3036" s="1"/>
      <c r="P3036" s="1"/>
      <c r="Q3036" s="1"/>
      <c r="T3036" s="1"/>
    </row>
    <row r="3037" spans="1:20" x14ac:dyDescent="0.35">
      <c r="A3037" s="37"/>
      <c r="H3037" s="1"/>
      <c r="I3037" s="1"/>
      <c r="J3037" s="1"/>
      <c r="L3037" s="1"/>
      <c r="N3037" s="1"/>
      <c r="O3037" s="1"/>
      <c r="P3037" s="1"/>
      <c r="Q3037" s="1"/>
      <c r="T3037" s="2"/>
    </row>
    <row r="3038" spans="1:20" x14ac:dyDescent="0.35">
      <c r="A3038" s="37"/>
      <c r="H3038" s="1"/>
      <c r="I3038" s="1"/>
      <c r="J3038" s="1"/>
      <c r="L3038" s="1"/>
      <c r="M3038" s="38"/>
      <c r="O3038" s="1"/>
      <c r="P3038" s="1"/>
      <c r="Q3038" s="1"/>
      <c r="T3038" s="2"/>
    </row>
    <row r="3039" spans="1:20" x14ac:dyDescent="0.35">
      <c r="A3039" s="37"/>
      <c r="H3039" s="1"/>
      <c r="I3039" s="1"/>
      <c r="J3039" s="1"/>
      <c r="L3039" s="1"/>
      <c r="N3039" s="1"/>
      <c r="O3039" s="1"/>
      <c r="P3039" s="1"/>
      <c r="Q3039" s="1"/>
      <c r="T3039" s="1"/>
    </row>
    <row r="3040" spans="1:20" x14ac:dyDescent="0.35">
      <c r="A3040" s="37"/>
      <c r="H3040" s="1"/>
      <c r="I3040" s="1"/>
      <c r="J3040" s="1"/>
      <c r="L3040" s="1"/>
      <c r="M3040" s="38"/>
      <c r="N3040" s="1"/>
      <c r="O3040" s="1"/>
      <c r="P3040" s="1"/>
      <c r="Q3040" s="1"/>
      <c r="T3040" s="1"/>
    </row>
    <row r="3041" spans="1:20" x14ac:dyDescent="0.35">
      <c r="A3041" s="37"/>
      <c r="H3041" s="1"/>
      <c r="I3041" s="1"/>
      <c r="J3041" s="1"/>
      <c r="L3041" s="1"/>
      <c r="N3041" s="1"/>
      <c r="O3041" s="1"/>
      <c r="P3041" s="1"/>
      <c r="Q3041" s="1"/>
      <c r="T3041" s="1"/>
    </row>
    <row r="3042" spans="1:20" x14ac:dyDescent="0.35">
      <c r="A3042" s="37"/>
      <c r="H3042" s="1"/>
      <c r="I3042" s="1"/>
      <c r="J3042" s="1"/>
      <c r="L3042" s="1"/>
      <c r="N3042" s="1"/>
      <c r="O3042" s="1"/>
      <c r="P3042" s="1"/>
      <c r="Q3042" s="1"/>
      <c r="T3042" s="1"/>
    </row>
    <row r="3043" spans="1:20" x14ac:dyDescent="0.35">
      <c r="A3043" s="37"/>
      <c r="H3043" s="1"/>
      <c r="I3043" s="1"/>
      <c r="J3043" s="1"/>
      <c r="L3043" s="1"/>
      <c r="N3043" s="1"/>
      <c r="O3043" s="1"/>
      <c r="P3043" s="1"/>
      <c r="Q3043" s="1"/>
      <c r="T3043" s="1"/>
    </row>
    <row r="3044" spans="1:20" x14ac:dyDescent="0.35">
      <c r="A3044" s="37"/>
      <c r="H3044" s="1"/>
      <c r="I3044" s="1"/>
      <c r="J3044" s="1"/>
      <c r="L3044" s="1"/>
      <c r="N3044" s="1"/>
      <c r="O3044" s="1"/>
      <c r="P3044" s="1"/>
      <c r="Q3044" s="1"/>
      <c r="T3044" s="1"/>
    </row>
    <row r="3045" spans="1:20" x14ac:dyDescent="0.35">
      <c r="A3045" s="37"/>
      <c r="H3045" s="1"/>
      <c r="I3045" s="1"/>
      <c r="J3045" s="1"/>
      <c r="L3045" s="1"/>
      <c r="N3045" s="1"/>
      <c r="O3045" s="1"/>
      <c r="P3045" s="1"/>
      <c r="Q3045" s="1"/>
      <c r="T3045" s="2"/>
    </row>
    <row r="3046" spans="1:20" x14ac:dyDescent="0.35">
      <c r="A3046" s="37"/>
      <c r="H3046" s="1"/>
      <c r="I3046" s="1"/>
      <c r="J3046" s="1"/>
      <c r="L3046" s="1"/>
      <c r="M3046" s="38"/>
      <c r="N3046" s="1"/>
      <c r="O3046" s="1"/>
      <c r="P3046" s="1"/>
      <c r="Q3046" s="1"/>
      <c r="T3046" s="1"/>
    </row>
    <row r="3047" spans="1:20" x14ac:dyDescent="0.35">
      <c r="A3047" s="37"/>
      <c r="H3047" s="1"/>
      <c r="I3047" s="1"/>
      <c r="J3047" s="1"/>
      <c r="L3047" s="1"/>
      <c r="M3047" s="38"/>
      <c r="O3047" s="1"/>
      <c r="P3047" s="1"/>
      <c r="Q3047" s="1"/>
      <c r="T3047" s="1"/>
    </row>
    <row r="3048" spans="1:20" x14ac:dyDescent="0.35">
      <c r="A3048" s="37"/>
      <c r="H3048" s="1"/>
      <c r="I3048" s="1"/>
      <c r="J3048" s="1"/>
      <c r="L3048" s="1"/>
      <c r="N3048" s="1"/>
      <c r="O3048" s="1"/>
      <c r="P3048" s="1"/>
      <c r="Q3048" s="1"/>
      <c r="T3048" s="2"/>
    </row>
    <row r="3049" spans="1:20" x14ac:dyDescent="0.35">
      <c r="A3049" s="37"/>
      <c r="H3049" s="1"/>
      <c r="I3049" s="1"/>
      <c r="J3049" s="1"/>
      <c r="L3049" s="1"/>
      <c r="O3049" s="1"/>
      <c r="P3049" s="1"/>
      <c r="Q3049" s="1"/>
      <c r="T3049" s="2"/>
    </row>
    <row r="3050" spans="1:20" x14ac:dyDescent="0.35">
      <c r="A3050" s="37"/>
      <c r="H3050" s="1"/>
      <c r="I3050" s="1"/>
      <c r="J3050" s="1"/>
      <c r="L3050" s="1"/>
      <c r="N3050" s="1"/>
      <c r="O3050" s="1"/>
      <c r="P3050" s="1"/>
      <c r="Q3050" s="1"/>
      <c r="T3050" s="1"/>
    </row>
    <row r="3051" spans="1:20" x14ac:dyDescent="0.35">
      <c r="A3051" s="37"/>
      <c r="H3051" s="1"/>
      <c r="I3051" s="1"/>
      <c r="J3051" s="1"/>
      <c r="L3051" s="1"/>
      <c r="N3051" s="1"/>
      <c r="O3051" s="1"/>
      <c r="P3051" s="1"/>
      <c r="Q3051" s="1"/>
      <c r="T3051" s="2"/>
    </row>
    <row r="3052" spans="1:20" x14ac:dyDescent="0.35">
      <c r="A3052" s="37"/>
      <c r="H3052" s="1"/>
      <c r="I3052" s="1"/>
      <c r="J3052" s="1"/>
      <c r="L3052" s="1"/>
      <c r="M3052" s="38"/>
      <c r="O3052" s="1"/>
      <c r="P3052" s="1"/>
      <c r="Q3052" s="1"/>
      <c r="T3052" s="2"/>
    </row>
    <row r="3053" spans="1:20" x14ac:dyDescent="0.35">
      <c r="A3053" s="37"/>
      <c r="H3053" s="1"/>
      <c r="I3053" s="1"/>
      <c r="J3053" s="1"/>
      <c r="L3053" s="1"/>
      <c r="O3053" s="1"/>
      <c r="P3053" s="1"/>
      <c r="Q3053" s="1"/>
      <c r="T3053" s="2"/>
    </row>
    <row r="3054" spans="1:20" x14ac:dyDescent="0.35">
      <c r="A3054" s="37"/>
      <c r="H3054" s="1"/>
      <c r="I3054" s="1"/>
      <c r="J3054" s="1"/>
      <c r="L3054" s="1"/>
      <c r="N3054" s="1"/>
      <c r="O3054" s="1"/>
      <c r="P3054" s="1"/>
      <c r="Q3054" s="1"/>
      <c r="T3054" s="1"/>
    </row>
    <row r="3055" spans="1:20" x14ac:dyDescent="0.35">
      <c r="A3055" s="37"/>
      <c r="H3055" s="1"/>
      <c r="I3055" s="1"/>
      <c r="J3055" s="1"/>
      <c r="L3055" s="1"/>
      <c r="M3055" s="39"/>
      <c r="N3055" s="1"/>
      <c r="O3055" s="1"/>
      <c r="P3055" s="1"/>
      <c r="Q3055" s="1"/>
      <c r="T3055" s="2"/>
    </row>
    <row r="3056" spans="1:20" x14ac:dyDescent="0.35">
      <c r="A3056" s="37"/>
      <c r="H3056" s="1"/>
      <c r="I3056" s="1"/>
      <c r="J3056" s="1"/>
      <c r="L3056" s="1"/>
      <c r="M3056" s="38"/>
      <c r="O3056" s="1"/>
      <c r="P3056" s="1"/>
      <c r="Q3056" s="1"/>
      <c r="T3056" s="2"/>
    </row>
    <row r="3057" spans="1:20" x14ac:dyDescent="0.35">
      <c r="A3057" s="37"/>
      <c r="H3057" s="1"/>
      <c r="I3057" s="1"/>
      <c r="J3057" s="1"/>
      <c r="L3057" s="1"/>
      <c r="O3057" s="1"/>
      <c r="P3057" s="1"/>
      <c r="Q3057" s="1"/>
      <c r="T3057" s="2"/>
    </row>
    <row r="3058" spans="1:20" x14ac:dyDescent="0.35">
      <c r="A3058" s="37"/>
      <c r="H3058" s="1"/>
      <c r="I3058" s="1"/>
      <c r="J3058" s="1"/>
      <c r="L3058" s="1"/>
      <c r="O3058" s="1"/>
      <c r="P3058" s="1"/>
      <c r="Q3058" s="1"/>
      <c r="T3058" s="2"/>
    </row>
    <row r="3059" spans="1:20" x14ac:dyDescent="0.35">
      <c r="A3059" s="37"/>
      <c r="H3059" s="1"/>
      <c r="I3059" s="1"/>
      <c r="J3059" s="1"/>
      <c r="L3059" s="1"/>
      <c r="O3059" s="1"/>
      <c r="P3059" s="1"/>
      <c r="Q3059" s="1"/>
      <c r="T3059" s="2"/>
    </row>
    <row r="3060" spans="1:20" x14ac:dyDescent="0.35">
      <c r="A3060" s="37"/>
      <c r="H3060" s="1"/>
      <c r="I3060" s="1"/>
      <c r="J3060" s="1"/>
      <c r="L3060" s="1"/>
      <c r="O3060" s="1"/>
      <c r="P3060" s="1"/>
      <c r="Q3060" s="1"/>
      <c r="T3060" s="2"/>
    </row>
    <row r="3061" spans="1:20" x14ac:dyDescent="0.35">
      <c r="A3061" s="37"/>
      <c r="H3061" s="1"/>
      <c r="I3061" s="1"/>
      <c r="J3061" s="1"/>
      <c r="L3061" s="1"/>
      <c r="O3061" s="1"/>
      <c r="P3061" s="1"/>
      <c r="Q3061" s="1"/>
      <c r="T3061" s="2"/>
    </row>
    <row r="3062" spans="1:20" x14ac:dyDescent="0.35">
      <c r="A3062" s="37"/>
      <c r="H3062" s="1"/>
      <c r="I3062" s="1"/>
      <c r="J3062" s="1"/>
      <c r="L3062" s="1"/>
      <c r="O3062" s="1"/>
      <c r="P3062" s="1"/>
      <c r="Q3062" s="1"/>
      <c r="T3062" s="2"/>
    </row>
    <row r="3063" spans="1:20" x14ac:dyDescent="0.35">
      <c r="A3063" s="37"/>
      <c r="H3063" s="1"/>
      <c r="I3063" s="1"/>
      <c r="J3063" s="1"/>
      <c r="L3063" s="1"/>
      <c r="N3063" s="1"/>
      <c r="O3063" s="1"/>
      <c r="P3063" s="1"/>
      <c r="Q3063" s="1"/>
      <c r="T3063" s="1"/>
    </row>
    <row r="3064" spans="1:20" x14ac:dyDescent="0.35">
      <c r="A3064" s="37"/>
      <c r="H3064" s="1"/>
      <c r="I3064" s="1"/>
      <c r="J3064" s="1"/>
      <c r="L3064" s="1"/>
      <c r="O3064" s="1"/>
      <c r="P3064" s="1"/>
      <c r="Q3064" s="1"/>
      <c r="T3064" s="2"/>
    </row>
    <row r="3065" spans="1:20" x14ac:dyDescent="0.35">
      <c r="A3065" s="37"/>
      <c r="H3065" s="1"/>
      <c r="I3065" s="1"/>
      <c r="J3065" s="1"/>
      <c r="L3065" s="1"/>
      <c r="O3065" s="1"/>
      <c r="P3065" s="1"/>
      <c r="Q3065" s="1"/>
      <c r="T3065" s="2"/>
    </row>
    <row r="3066" spans="1:20" x14ac:dyDescent="0.35">
      <c r="A3066" s="37"/>
      <c r="H3066" s="1"/>
      <c r="I3066" s="1"/>
      <c r="J3066" s="1"/>
      <c r="L3066" s="1"/>
      <c r="O3066" s="1"/>
      <c r="P3066" s="1"/>
      <c r="Q3066" s="1"/>
      <c r="T3066" s="2"/>
    </row>
    <row r="3067" spans="1:20" x14ac:dyDescent="0.35">
      <c r="A3067" s="37"/>
      <c r="H3067" s="1"/>
      <c r="I3067" s="1"/>
      <c r="J3067" s="1"/>
      <c r="L3067" s="1"/>
      <c r="O3067" s="1"/>
      <c r="P3067" s="1"/>
      <c r="Q3067" s="1"/>
      <c r="T3067" s="2"/>
    </row>
    <row r="3068" spans="1:20" x14ac:dyDescent="0.35">
      <c r="A3068" s="37"/>
      <c r="H3068" s="1"/>
      <c r="I3068" s="1"/>
      <c r="J3068" s="1"/>
      <c r="L3068" s="1"/>
      <c r="M3068" s="39"/>
      <c r="O3068" s="1"/>
      <c r="P3068" s="1"/>
      <c r="Q3068" s="1"/>
      <c r="T3068" s="2"/>
    </row>
    <row r="3069" spans="1:20" x14ac:dyDescent="0.35">
      <c r="A3069" s="37"/>
      <c r="H3069" s="1"/>
      <c r="I3069" s="1"/>
      <c r="J3069" s="1"/>
      <c r="L3069" s="1"/>
      <c r="M3069" s="39"/>
      <c r="O3069" s="1"/>
      <c r="P3069" s="1"/>
      <c r="Q3069" s="1"/>
      <c r="T3069" s="2"/>
    </row>
    <row r="3070" spans="1:20" x14ac:dyDescent="0.35">
      <c r="A3070" s="37"/>
      <c r="H3070" s="1"/>
      <c r="I3070" s="1"/>
      <c r="J3070" s="1"/>
      <c r="L3070" s="1"/>
      <c r="O3070" s="1"/>
      <c r="P3070" s="1"/>
      <c r="Q3070" s="1"/>
      <c r="T3070" s="1"/>
    </row>
    <row r="3071" spans="1:20" x14ac:dyDescent="0.35">
      <c r="A3071" s="37"/>
      <c r="H3071" s="1"/>
      <c r="I3071" s="1"/>
      <c r="J3071" s="1"/>
      <c r="L3071" s="1"/>
      <c r="N3071" s="1"/>
      <c r="O3071" s="1"/>
      <c r="P3071" s="1"/>
      <c r="Q3071" s="1"/>
      <c r="T3071" s="1"/>
    </row>
    <row r="3072" spans="1:20" x14ac:dyDescent="0.35">
      <c r="A3072" s="37"/>
      <c r="H3072" s="1"/>
      <c r="I3072" s="1"/>
      <c r="J3072" s="1"/>
      <c r="L3072" s="1"/>
      <c r="N3072" s="1"/>
      <c r="O3072" s="1"/>
      <c r="P3072" s="1"/>
      <c r="Q3072" s="1"/>
      <c r="T3072" s="1"/>
    </row>
    <row r="3073" spans="1:20" x14ac:dyDescent="0.35">
      <c r="A3073" s="37"/>
      <c r="H3073" s="1"/>
      <c r="I3073" s="1"/>
      <c r="J3073" s="1"/>
      <c r="L3073" s="1"/>
      <c r="N3073" s="1"/>
      <c r="O3073" s="1"/>
      <c r="P3073" s="1"/>
      <c r="Q3073" s="1"/>
      <c r="T3073" s="2"/>
    </row>
    <row r="3074" spans="1:20" x14ac:dyDescent="0.35">
      <c r="A3074" s="37"/>
      <c r="H3074" s="1"/>
      <c r="I3074" s="1"/>
      <c r="J3074" s="1"/>
      <c r="L3074" s="1"/>
      <c r="N3074" s="1"/>
      <c r="O3074" s="1"/>
      <c r="P3074" s="1"/>
      <c r="Q3074" s="1"/>
      <c r="T3074" s="2"/>
    </row>
    <row r="3075" spans="1:20" x14ac:dyDescent="0.35">
      <c r="A3075" s="37"/>
      <c r="H3075" s="1"/>
      <c r="I3075" s="1"/>
      <c r="J3075" s="1"/>
      <c r="L3075" s="1"/>
      <c r="N3075" s="1"/>
      <c r="O3075" s="1"/>
      <c r="P3075" s="1"/>
      <c r="Q3075" s="1"/>
      <c r="T3075" s="2"/>
    </row>
    <row r="3076" spans="1:20" x14ac:dyDescent="0.35">
      <c r="A3076" s="37"/>
      <c r="H3076" s="1"/>
      <c r="I3076" s="1"/>
      <c r="J3076" s="1"/>
      <c r="L3076" s="1"/>
      <c r="O3076" s="1"/>
      <c r="P3076" s="1"/>
      <c r="Q3076" s="1"/>
      <c r="T3076" s="2"/>
    </row>
    <row r="3077" spans="1:20" x14ac:dyDescent="0.35">
      <c r="A3077" s="37"/>
      <c r="H3077" s="1"/>
      <c r="I3077" s="1"/>
      <c r="J3077" s="1"/>
      <c r="L3077" s="1"/>
      <c r="M3077" s="38"/>
      <c r="O3077" s="1"/>
      <c r="P3077" s="1"/>
      <c r="Q3077" s="1"/>
      <c r="T3077" s="2"/>
    </row>
    <row r="3078" spans="1:20" x14ac:dyDescent="0.35">
      <c r="A3078" s="37"/>
      <c r="H3078" s="1"/>
      <c r="I3078" s="1"/>
      <c r="J3078" s="1"/>
      <c r="L3078" s="1"/>
      <c r="O3078" s="1"/>
      <c r="P3078" s="1"/>
      <c r="Q3078" s="1"/>
      <c r="T3078" s="2"/>
    </row>
    <row r="3079" spans="1:20" x14ac:dyDescent="0.35">
      <c r="A3079" s="37"/>
      <c r="H3079" s="1"/>
      <c r="I3079" s="1"/>
      <c r="J3079" s="1"/>
      <c r="L3079" s="1"/>
      <c r="O3079" s="1"/>
      <c r="P3079" s="1"/>
      <c r="Q3079" s="1"/>
      <c r="T3079" s="2"/>
    </row>
    <row r="3080" spans="1:20" x14ac:dyDescent="0.35">
      <c r="A3080" s="37"/>
      <c r="H3080" s="1"/>
      <c r="I3080" s="1"/>
      <c r="J3080" s="1"/>
      <c r="L3080" s="1"/>
      <c r="N3080" s="1"/>
      <c r="O3080" s="1"/>
      <c r="P3080" s="1"/>
      <c r="Q3080" s="1"/>
      <c r="T3080" s="1"/>
    </row>
    <row r="3081" spans="1:20" x14ac:dyDescent="0.35">
      <c r="A3081" s="37"/>
      <c r="H3081" s="1"/>
      <c r="I3081" s="1"/>
      <c r="J3081" s="1"/>
      <c r="L3081" s="1"/>
      <c r="O3081" s="1"/>
      <c r="P3081" s="1"/>
      <c r="Q3081" s="1"/>
      <c r="T3081" s="2"/>
    </row>
    <row r="3082" spans="1:20" x14ac:dyDescent="0.35">
      <c r="A3082" s="37"/>
      <c r="H3082" s="1"/>
      <c r="I3082" s="1"/>
      <c r="J3082" s="1"/>
      <c r="L3082" s="1"/>
      <c r="N3082" s="1"/>
      <c r="O3082" s="1"/>
      <c r="P3082" s="1"/>
      <c r="Q3082" s="1"/>
      <c r="T3082" s="1"/>
    </row>
    <row r="3083" spans="1:20" x14ac:dyDescent="0.35">
      <c r="A3083" s="37"/>
      <c r="H3083" s="1"/>
      <c r="I3083" s="1"/>
      <c r="J3083" s="1"/>
      <c r="L3083" s="1"/>
      <c r="N3083" s="1"/>
      <c r="O3083" s="1"/>
      <c r="P3083" s="1"/>
      <c r="Q3083" s="1"/>
      <c r="T3083" s="2"/>
    </row>
    <row r="3084" spans="1:20" x14ac:dyDescent="0.35">
      <c r="A3084" s="37"/>
      <c r="H3084" s="1"/>
      <c r="I3084" s="1"/>
      <c r="J3084" s="1"/>
      <c r="L3084" s="1"/>
      <c r="N3084" s="1"/>
      <c r="O3084" s="1"/>
      <c r="P3084" s="1"/>
      <c r="Q3084" s="1"/>
      <c r="T3084" s="2"/>
    </row>
    <row r="3085" spans="1:20" x14ac:dyDescent="0.35">
      <c r="A3085" s="37"/>
      <c r="H3085" s="1"/>
      <c r="I3085" s="1"/>
      <c r="J3085" s="1"/>
      <c r="L3085" s="1"/>
      <c r="O3085" s="1"/>
      <c r="P3085" s="1"/>
      <c r="Q3085" s="1"/>
      <c r="T3085" s="2"/>
    </row>
    <row r="3086" spans="1:20" x14ac:dyDescent="0.35">
      <c r="A3086" s="37"/>
      <c r="H3086" s="1"/>
      <c r="I3086" s="1"/>
      <c r="J3086" s="1"/>
      <c r="L3086" s="1"/>
      <c r="O3086" s="1"/>
      <c r="P3086" s="1"/>
      <c r="Q3086" s="1"/>
      <c r="T3086" s="2"/>
    </row>
    <row r="3087" spans="1:20" x14ac:dyDescent="0.35">
      <c r="A3087" s="37"/>
      <c r="H3087" s="1"/>
      <c r="I3087" s="1"/>
      <c r="J3087" s="1"/>
      <c r="L3087" s="1"/>
      <c r="N3087" s="1"/>
      <c r="O3087" s="1"/>
      <c r="P3087" s="1"/>
      <c r="Q3087" s="1"/>
      <c r="T3087" s="1"/>
    </row>
    <row r="3088" spans="1:20" x14ac:dyDescent="0.35">
      <c r="A3088" s="37"/>
      <c r="H3088" s="1"/>
      <c r="I3088" s="1"/>
      <c r="J3088" s="1"/>
      <c r="L3088" s="1"/>
      <c r="N3088" s="1"/>
      <c r="O3088" s="1"/>
      <c r="P3088" s="1"/>
      <c r="Q3088" s="1"/>
      <c r="T3088" s="1"/>
    </row>
    <row r="3089" spans="1:20" x14ac:dyDescent="0.35">
      <c r="A3089" s="37"/>
      <c r="H3089" s="1"/>
      <c r="I3089" s="1"/>
      <c r="J3089" s="1"/>
      <c r="L3089" s="1"/>
      <c r="N3089" s="1"/>
      <c r="O3089" s="1"/>
      <c r="P3089" s="1"/>
      <c r="Q3089" s="1"/>
      <c r="T3089" s="2"/>
    </row>
    <row r="3090" spans="1:20" x14ac:dyDescent="0.35">
      <c r="A3090" s="37"/>
      <c r="H3090" s="1"/>
      <c r="I3090" s="1"/>
      <c r="J3090" s="1"/>
      <c r="L3090" s="1"/>
      <c r="N3090" s="1"/>
      <c r="O3090" s="1"/>
      <c r="P3090" s="1"/>
      <c r="Q3090" s="1"/>
      <c r="T3090" s="2"/>
    </row>
    <row r="3091" spans="1:20" x14ac:dyDescent="0.35">
      <c r="A3091" s="37"/>
      <c r="H3091" s="1"/>
      <c r="I3091" s="1"/>
      <c r="J3091" s="1"/>
      <c r="L3091" s="1"/>
      <c r="N3091" s="1"/>
      <c r="O3091" s="1"/>
      <c r="P3091" s="1"/>
      <c r="Q3091" s="1"/>
      <c r="T3091" s="2"/>
    </row>
    <row r="3092" spans="1:20" x14ac:dyDescent="0.35">
      <c r="A3092" s="37"/>
      <c r="H3092" s="1"/>
      <c r="I3092" s="1"/>
      <c r="J3092" s="1"/>
      <c r="L3092" s="1"/>
      <c r="N3092" s="1"/>
      <c r="O3092" s="1"/>
      <c r="P3092" s="1"/>
      <c r="Q3092" s="1"/>
      <c r="T3092" s="2"/>
    </row>
    <row r="3093" spans="1:20" x14ac:dyDescent="0.35">
      <c r="A3093" s="37"/>
      <c r="H3093" s="1"/>
      <c r="I3093" s="1"/>
      <c r="J3093" s="1"/>
      <c r="L3093" s="1"/>
      <c r="N3093" s="1"/>
      <c r="O3093" s="1"/>
      <c r="P3093" s="1"/>
      <c r="Q3093" s="1"/>
      <c r="T3093" s="2"/>
    </row>
    <row r="3094" spans="1:20" x14ac:dyDescent="0.35">
      <c r="A3094" s="37"/>
      <c r="H3094" s="1"/>
      <c r="I3094" s="1"/>
      <c r="J3094" s="1"/>
      <c r="L3094" s="1"/>
      <c r="N3094" s="1"/>
      <c r="O3094" s="1"/>
      <c r="P3094" s="1"/>
      <c r="Q3094" s="1"/>
      <c r="T3094" s="2"/>
    </row>
    <row r="3095" spans="1:20" x14ac:dyDescent="0.35">
      <c r="A3095" s="37"/>
      <c r="H3095" s="1"/>
      <c r="I3095" s="1"/>
      <c r="J3095" s="1"/>
      <c r="L3095" s="1"/>
      <c r="N3095" s="1"/>
      <c r="O3095" s="1"/>
      <c r="P3095" s="1"/>
      <c r="Q3095" s="1"/>
      <c r="T3095" s="2"/>
    </row>
    <row r="3096" spans="1:20" x14ac:dyDescent="0.35">
      <c r="A3096" s="37"/>
      <c r="H3096" s="1"/>
      <c r="I3096" s="1"/>
      <c r="J3096" s="1"/>
      <c r="L3096" s="1"/>
      <c r="N3096" s="1"/>
      <c r="O3096" s="1"/>
      <c r="P3096" s="1"/>
      <c r="Q3096" s="1"/>
      <c r="T3096" s="2"/>
    </row>
    <row r="3097" spans="1:20" x14ac:dyDescent="0.35">
      <c r="A3097" s="37"/>
      <c r="H3097" s="1"/>
      <c r="I3097" s="1"/>
      <c r="J3097" s="1"/>
      <c r="L3097" s="1"/>
      <c r="N3097" s="1"/>
      <c r="O3097" s="1"/>
      <c r="P3097" s="1"/>
      <c r="Q3097" s="1"/>
      <c r="T3097" s="2"/>
    </row>
    <row r="3098" spans="1:20" x14ac:dyDescent="0.35">
      <c r="A3098" s="37"/>
      <c r="H3098" s="1"/>
      <c r="I3098" s="1"/>
      <c r="J3098" s="1"/>
      <c r="L3098" s="1"/>
      <c r="O3098" s="1"/>
      <c r="P3098" s="1"/>
      <c r="Q3098" s="1"/>
      <c r="T3098" s="2"/>
    </row>
    <row r="3099" spans="1:20" x14ac:dyDescent="0.35">
      <c r="A3099" s="37"/>
      <c r="H3099" s="1"/>
      <c r="I3099" s="1"/>
      <c r="J3099" s="1"/>
      <c r="L3099" s="1"/>
      <c r="N3099" s="1"/>
      <c r="O3099" s="1"/>
      <c r="P3099" s="1"/>
      <c r="Q3099" s="1"/>
      <c r="T3099" s="2"/>
    </row>
    <row r="3100" spans="1:20" x14ac:dyDescent="0.35">
      <c r="A3100" s="37"/>
      <c r="H3100" s="1"/>
      <c r="I3100" s="1"/>
      <c r="J3100" s="1"/>
      <c r="L3100" s="1"/>
      <c r="O3100" s="1"/>
      <c r="P3100" s="1"/>
      <c r="Q3100" s="1"/>
      <c r="T3100" s="2"/>
    </row>
    <row r="3101" spans="1:20" x14ac:dyDescent="0.35">
      <c r="A3101" s="37"/>
      <c r="H3101" s="1"/>
      <c r="I3101" s="1"/>
      <c r="J3101" s="1"/>
      <c r="L3101" s="1"/>
      <c r="O3101" s="1"/>
      <c r="P3101" s="1"/>
      <c r="Q3101" s="1"/>
      <c r="T3101" s="2"/>
    </row>
    <row r="3102" spans="1:20" x14ac:dyDescent="0.35">
      <c r="A3102" s="37"/>
      <c r="H3102" s="1"/>
      <c r="I3102" s="1"/>
      <c r="J3102" s="1"/>
      <c r="L3102" s="1"/>
      <c r="O3102" s="1"/>
      <c r="P3102" s="1"/>
      <c r="Q3102" s="1"/>
      <c r="T3102" s="2"/>
    </row>
    <row r="3103" spans="1:20" x14ac:dyDescent="0.35">
      <c r="A3103" s="37"/>
      <c r="H3103" s="1"/>
      <c r="I3103" s="1"/>
      <c r="J3103" s="1"/>
      <c r="L3103" s="1"/>
      <c r="O3103" s="1"/>
      <c r="P3103" s="1"/>
      <c r="Q3103" s="1"/>
      <c r="T3103" s="2"/>
    </row>
    <row r="3104" spans="1:20" x14ac:dyDescent="0.35">
      <c r="A3104" s="37"/>
      <c r="H3104" s="1"/>
      <c r="I3104" s="1"/>
      <c r="J3104" s="1"/>
      <c r="L3104" s="1"/>
      <c r="O3104" s="1"/>
      <c r="P3104" s="1"/>
      <c r="Q3104" s="1"/>
      <c r="T3104" s="2"/>
    </row>
    <row r="3105" spans="1:20" x14ac:dyDescent="0.35">
      <c r="A3105" s="37"/>
      <c r="H3105" s="1"/>
      <c r="I3105" s="1"/>
      <c r="J3105" s="1"/>
      <c r="L3105" s="1"/>
      <c r="O3105" s="1"/>
      <c r="P3105" s="1"/>
      <c r="Q3105" s="1"/>
      <c r="T3105" s="2"/>
    </row>
    <row r="3106" spans="1:20" x14ac:dyDescent="0.35">
      <c r="A3106" s="37"/>
      <c r="H3106" s="1"/>
      <c r="I3106" s="1"/>
      <c r="J3106" s="1"/>
      <c r="L3106" s="1"/>
      <c r="O3106" s="1"/>
      <c r="P3106" s="1"/>
      <c r="Q3106" s="1"/>
      <c r="T3106" s="2"/>
    </row>
    <row r="3107" spans="1:20" x14ac:dyDescent="0.35">
      <c r="A3107" s="37"/>
      <c r="H3107" s="1"/>
      <c r="I3107" s="1"/>
      <c r="J3107" s="1"/>
      <c r="L3107" s="1"/>
      <c r="O3107" s="1"/>
      <c r="P3107" s="1"/>
      <c r="Q3107" s="1"/>
      <c r="T3107" s="2"/>
    </row>
    <row r="3108" spans="1:20" x14ac:dyDescent="0.35">
      <c r="A3108" s="37"/>
      <c r="H3108" s="1"/>
      <c r="I3108" s="1"/>
      <c r="J3108" s="1"/>
      <c r="L3108" s="1"/>
      <c r="O3108" s="1"/>
      <c r="P3108" s="1"/>
      <c r="Q3108" s="1"/>
      <c r="T3108" s="2"/>
    </row>
    <row r="3109" spans="1:20" x14ac:dyDescent="0.35">
      <c r="A3109" s="37"/>
      <c r="H3109" s="1"/>
      <c r="I3109" s="1"/>
      <c r="J3109" s="1"/>
      <c r="L3109" s="1"/>
      <c r="M3109" s="39"/>
      <c r="N3109" s="1"/>
      <c r="O3109" s="1"/>
      <c r="P3109" s="1"/>
      <c r="Q3109" s="1"/>
      <c r="T3109" s="2"/>
    </row>
    <row r="3110" spans="1:20" x14ac:dyDescent="0.35">
      <c r="A3110" s="37"/>
      <c r="H3110" s="1"/>
      <c r="I3110" s="1"/>
      <c r="J3110" s="1"/>
      <c r="L3110" s="1"/>
      <c r="N3110" s="1"/>
      <c r="O3110" s="1"/>
      <c r="P3110" s="1"/>
      <c r="Q3110" s="1"/>
      <c r="T3110" s="1"/>
    </row>
    <row r="3111" spans="1:20" x14ac:dyDescent="0.35">
      <c r="A3111" s="37"/>
      <c r="H3111" s="1"/>
      <c r="I3111" s="1"/>
      <c r="J3111" s="1"/>
      <c r="L3111" s="1"/>
      <c r="M3111" s="38"/>
      <c r="O3111" s="1"/>
      <c r="P3111" s="1"/>
      <c r="Q3111" s="1"/>
      <c r="T3111" s="2"/>
    </row>
    <row r="3112" spans="1:20" x14ac:dyDescent="0.35">
      <c r="A3112" s="37"/>
      <c r="H3112" s="1"/>
      <c r="I3112" s="1"/>
      <c r="J3112" s="1"/>
      <c r="L3112" s="1"/>
      <c r="N3112" s="1"/>
      <c r="O3112" s="1"/>
      <c r="P3112" s="1"/>
      <c r="Q3112" s="1"/>
      <c r="T3112" s="1"/>
    </row>
    <row r="3113" spans="1:20" x14ac:dyDescent="0.35">
      <c r="A3113" s="37"/>
      <c r="H3113" s="1"/>
      <c r="I3113" s="1"/>
      <c r="J3113" s="1"/>
      <c r="L3113" s="1"/>
      <c r="N3113" s="1"/>
      <c r="O3113" s="1"/>
      <c r="P3113" s="1"/>
      <c r="Q3113" s="1"/>
      <c r="T3113" s="2"/>
    </row>
    <row r="3114" spans="1:20" x14ac:dyDescent="0.35">
      <c r="A3114" s="37"/>
      <c r="H3114" s="1"/>
      <c r="I3114" s="1"/>
      <c r="J3114" s="1"/>
      <c r="L3114" s="1"/>
      <c r="M3114" s="38"/>
      <c r="O3114" s="1"/>
      <c r="P3114" s="1"/>
      <c r="Q3114" s="1"/>
      <c r="T3114" s="1"/>
    </row>
    <row r="3115" spans="1:20" x14ac:dyDescent="0.35">
      <c r="A3115" s="37"/>
      <c r="H3115" s="1"/>
      <c r="I3115" s="1"/>
      <c r="J3115" s="1"/>
      <c r="L3115" s="1"/>
      <c r="N3115" s="1"/>
      <c r="O3115" s="1"/>
      <c r="P3115" s="1"/>
      <c r="Q3115" s="1"/>
      <c r="T3115" s="1"/>
    </row>
    <row r="3116" spans="1:20" x14ac:dyDescent="0.35">
      <c r="A3116" s="37"/>
      <c r="H3116" s="1"/>
      <c r="I3116" s="1"/>
      <c r="J3116" s="1"/>
      <c r="L3116" s="1"/>
      <c r="N3116" s="1"/>
      <c r="O3116" s="1"/>
      <c r="P3116" s="1"/>
      <c r="Q3116" s="1"/>
      <c r="T3116" s="2"/>
    </row>
    <row r="3117" spans="1:20" x14ac:dyDescent="0.35">
      <c r="A3117" s="37"/>
      <c r="H3117" s="1"/>
      <c r="I3117" s="1"/>
      <c r="J3117" s="1"/>
      <c r="L3117" s="1"/>
      <c r="O3117" s="1"/>
      <c r="P3117" s="1"/>
      <c r="Q3117" s="1"/>
      <c r="T3117" s="2"/>
    </row>
    <row r="3118" spans="1:20" x14ac:dyDescent="0.35">
      <c r="A3118" s="37"/>
      <c r="H3118" s="1"/>
      <c r="I3118" s="1"/>
      <c r="J3118" s="1"/>
      <c r="L3118" s="1"/>
      <c r="O3118" s="1"/>
      <c r="P3118" s="1"/>
      <c r="Q3118" s="1"/>
      <c r="T3118" s="2"/>
    </row>
    <row r="3119" spans="1:20" x14ac:dyDescent="0.35">
      <c r="A3119" s="37"/>
      <c r="H3119" s="1"/>
      <c r="I3119" s="1"/>
      <c r="J3119" s="1"/>
      <c r="L3119" s="1"/>
      <c r="O3119" s="1"/>
      <c r="P3119" s="1"/>
      <c r="Q3119" s="1"/>
      <c r="T3119" s="2"/>
    </row>
    <row r="3120" spans="1:20" x14ac:dyDescent="0.35">
      <c r="A3120" s="37"/>
      <c r="H3120" s="1"/>
      <c r="I3120" s="1"/>
      <c r="J3120" s="1"/>
      <c r="L3120" s="1"/>
      <c r="N3120" s="1"/>
      <c r="O3120" s="1"/>
      <c r="P3120" s="1"/>
      <c r="Q3120" s="1"/>
      <c r="T3120" s="1"/>
    </row>
    <row r="3121" spans="1:20" x14ac:dyDescent="0.35">
      <c r="A3121" s="37"/>
      <c r="H3121" s="1"/>
      <c r="I3121" s="1"/>
      <c r="J3121" s="1"/>
      <c r="L3121" s="1"/>
      <c r="N3121" s="1"/>
      <c r="O3121" s="1"/>
      <c r="P3121" s="1"/>
      <c r="Q3121" s="1"/>
      <c r="T3121" s="1"/>
    </row>
    <row r="3122" spans="1:20" x14ac:dyDescent="0.35">
      <c r="A3122" s="37"/>
      <c r="H3122" s="1"/>
      <c r="I3122" s="1"/>
      <c r="J3122" s="1"/>
      <c r="L3122" s="1"/>
      <c r="N3122" s="1"/>
      <c r="O3122" s="1"/>
      <c r="P3122" s="1"/>
      <c r="Q3122" s="1"/>
      <c r="T3122" s="1"/>
    </row>
    <row r="3123" spans="1:20" x14ac:dyDescent="0.35">
      <c r="A3123" s="37"/>
      <c r="H3123" s="1"/>
      <c r="I3123" s="1"/>
      <c r="J3123" s="1"/>
      <c r="L3123" s="1"/>
      <c r="N3123" s="1"/>
      <c r="O3123" s="1"/>
      <c r="P3123" s="1"/>
      <c r="Q3123" s="1"/>
      <c r="T3123" s="1"/>
    </row>
    <row r="3124" spans="1:20" x14ac:dyDescent="0.35">
      <c r="A3124" s="37"/>
      <c r="H3124" s="1"/>
      <c r="I3124" s="1"/>
      <c r="J3124" s="1"/>
      <c r="L3124" s="1"/>
      <c r="O3124" s="1"/>
      <c r="P3124" s="1"/>
      <c r="Q3124" s="1"/>
      <c r="T3124" s="2"/>
    </row>
    <row r="3125" spans="1:20" x14ac:dyDescent="0.35">
      <c r="A3125" s="37"/>
      <c r="H3125" s="1"/>
      <c r="I3125" s="1"/>
      <c r="J3125" s="1"/>
      <c r="L3125" s="1"/>
      <c r="O3125" s="1"/>
      <c r="P3125" s="1"/>
      <c r="Q3125" s="1"/>
      <c r="T3125" s="2"/>
    </row>
    <row r="3126" spans="1:20" x14ac:dyDescent="0.35">
      <c r="A3126" s="37"/>
      <c r="H3126" s="7"/>
      <c r="I3126" s="7"/>
      <c r="J3126" s="7"/>
      <c r="L3126" s="7"/>
      <c r="M3126" s="40"/>
      <c r="O3126" s="1"/>
      <c r="P3126" s="1"/>
      <c r="Q3126" s="1"/>
      <c r="T3126" s="2"/>
    </row>
    <row r="3127" spans="1:20" x14ac:dyDescent="0.35">
      <c r="A3127" s="37"/>
      <c r="H3127" s="1"/>
      <c r="I3127" s="1"/>
      <c r="J3127" s="1"/>
      <c r="L3127" s="1"/>
      <c r="N3127" s="1"/>
      <c r="O3127" s="1"/>
      <c r="P3127" s="1"/>
      <c r="Q3127" s="1"/>
      <c r="T3127" s="1"/>
    </row>
    <row r="3128" spans="1:20" x14ac:dyDescent="0.35">
      <c r="A3128" s="37"/>
      <c r="H3128" s="1"/>
      <c r="I3128" s="1"/>
      <c r="J3128" s="1"/>
      <c r="L3128" s="1"/>
      <c r="N3128" s="1"/>
      <c r="O3128" s="1"/>
      <c r="P3128" s="1"/>
      <c r="Q3128" s="1"/>
      <c r="T3128" s="1"/>
    </row>
    <row r="3129" spans="1:20" x14ac:dyDescent="0.35">
      <c r="A3129" s="37"/>
      <c r="H3129" s="1"/>
      <c r="I3129" s="1"/>
      <c r="J3129" s="1"/>
      <c r="L3129" s="1"/>
      <c r="O3129" s="1"/>
      <c r="P3129" s="1"/>
      <c r="Q3129" s="1"/>
      <c r="T3129" s="2"/>
    </row>
    <row r="3130" spans="1:20" x14ac:dyDescent="0.35">
      <c r="A3130" s="37"/>
      <c r="H3130" s="1"/>
      <c r="I3130" s="1"/>
      <c r="J3130" s="1"/>
      <c r="L3130" s="1"/>
      <c r="O3130" s="1"/>
      <c r="P3130" s="1"/>
      <c r="Q3130" s="1"/>
      <c r="T3130" s="2"/>
    </row>
    <row r="3131" spans="1:20" x14ac:dyDescent="0.35">
      <c r="A3131" s="37"/>
      <c r="H3131" s="1"/>
      <c r="I3131" s="1"/>
      <c r="J3131" s="1"/>
      <c r="L3131" s="1"/>
      <c r="O3131" s="1"/>
      <c r="P3131" s="1"/>
      <c r="Q3131" s="1"/>
      <c r="T3131" s="2"/>
    </row>
    <row r="3132" spans="1:20" x14ac:dyDescent="0.35">
      <c r="A3132" s="37"/>
      <c r="H3132" s="1"/>
      <c r="I3132" s="1"/>
      <c r="J3132" s="1"/>
      <c r="L3132" s="1"/>
      <c r="N3132" s="1"/>
      <c r="O3132" s="1"/>
      <c r="P3132" s="1"/>
      <c r="Q3132" s="1"/>
      <c r="T3132" s="1"/>
    </row>
    <row r="3133" spans="1:20" x14ac:dyDescent="0.35">
      <c r="A3133" s="37"/>
      <c r="H3133" s="1"/>
      <c r="I3133" s="1"/>
      <c r="J3133" s="1"/>
      <c r="L3133" s="1"/>
      <c r="N3133" s="1"/>
      <c r="O3133" s="1"/>
      <c r="P3133" s="1"/>
      <c r="Q3133" s="1"/>
      <c r="T3133" s="1"/>
    </row>
    <row r="3134" spans="1:20" x14ac:dyDescent="0.35">
      <c r="A3134" s="37"/>
      <c r="H3134" s="1"/>
      <c r="I3134" s="1"/>
      <c r="J3134" s="1"/>
      <c r="L3134" s="1"/>
      <c r="O3134" s="1"/>
      <c r="P3134" s="1"/>
      <c r="Q3134" s="1"/>
      <c r="T3134" s="2"/>
    </row>
    <row r="3135" spans="1:20" x14ac:dyDescent="0.35">
      <c r="A3135" s="37"/>
      <c r="H3135" s="1"/>
      <c r="I3135" s="1"/>
      <c r="J3135" s="1"/>
      <c r="L3135" s="1"/>
      <c r="N3135" s="1"/>
      <c r="O3135" s="1"/>
      <c r="P3135" s="1"/>
      <c r="Q3135" s="1"/>
      <c r="T3135" s="1"/>
    </row>
    <row r="3136" spans="1:20" x14ac:dyDescent="0.35">
      <c r="A3136" s="37"/>
      <c r="H3136" s="1"/>
      <c r="I3136" s="1"/>
      <c r="J3136" s="1"/>
      <c r="L3136" s="1"/>
      <c r="N3136" s="1"/>
      <c r="O3136" s="1"/>
      <c r="P3136" s="1"/>
      <c r="Q3136" s="1"/>
      <c r="T3136" s="1"/>
    </row>
    <row r="3137" spans="1:20" x14ac:dyDescent="0.35">
      <c r="A3137" s="37"/>
      <c r="H3137" s="1"/>
      <c r="I3137" s="1"/>
      <c r="J3137" s="1"/>
      <c r="L3137" s="1"/>
      <c r="N3137" s="1"/>
      <c r="O3137" s="1"/>
      <c r="P3137" s="1"/>
      <c r="Q3137" s="1"/>
      <c r="T3137" s="1"/>
    </row>
    <row r="3138" spans="1:20" x14ac:dyDescent="0.35">
      <c r="A3138" s="37"/>
      <c r="H3138" s="1"/>
      <c r="I3138" s="1"/>
      <c r="J3138" s="1"/>
      <c r="L3138" s="1"/>
      <c r="N3138" s="1"/>
      <c r="O3138" s="1"/>
      <c r="P3138" s="1"/>
      <c r="Q3138" s="1"/>
      <c r="T3138" s="2"/>
    </row>
    <row r="3139" spans="1:20" x14ac:dyDescent="0.35">
      <c r="A3139" s="37"/>
      <c r="H3139" s="1"/>
      <c r="I3139" s="1"/>
      <c r="J3139" s="1"/>
      <c r="L3139" s="1"/>
      <c r="O3139" s="1"/>
      <c r="P3139" s="1"/>
      <c r="Q3139" s="1"/>
      <c r="T3139" s="1"/>
    </row>
    <row r="3140" spans="1:20" x14ac:dyDescent="0.35">
      <c r="A3140" s="37"/>
      <c r="H3140" s="1"/>
      <c r="I3140" s="1"/>
      <c r="J3140" s="1"/>
      <c r="L3140" s="1"/>
      <c r="O3140" s="1"/>
      <c r="P3140" s="1"/>
      <c r="Q3140" s="1"/>
      <c r="T3140" s="2"/>
    </row>
    <row r="3141" spans="1:20" x14ac:dyDescent="0.35">
      <c r="A3141" s="37"/>
      <c r="H3141" s="1"/>
      <c r="I3141" s="1"/>
      <c r="J3141" s="1"/>
      <c r="L3141" s="1"/>
      <c r="N3141" s="1"/>
      <c r="O3141" s="1"/>
      <c r="P3141" s="1"/>
      <c r="Q3141" s="1"/>
      <c r="T3141" s="2"/>
    </row>
    <row r="3142" spans="1:20" x14ac:dyDescent="0.35">
      <c r="A3142" s="37"/>
      <c r="H3142" s="1"/>
      <c r="I3142" s="1"/>
      <c r="J3142" s="1"/>
      <c r="L3142" s="1"/>
      <c r="O3142" s="1"/>
      <c r="P3142" s="1"/>
      <c r="Q3142" s="1"/>
      <c r="T3142" s="2"/>
    </row>
    <row r="3143" spans="1:20" x14ac:dyDescent="0.35">
      <c r="A3143" s="37"/>
      <c r="H3143" s="1"/>
      <c r="I3143" s="1"/>
      <c r="J3143" s="1"/>
      <c r="L3143" s="1"/>
      <c r="M3143" s="39"/>
      <c r="N3143" s="1"/>
      <c r="O3143" s="1"/>
      <c r="P3143" s="1"/>
      <c r="Q3143" s="1"/>
      <c r="T3143" s="1"/>
    </row>
    <row r="3144" spans="1:20" x14ac:dyDescent="0.35">
      <c r="A3144" s="37"/>
      <c r="H3144" s="1"/>
      <c r="I3144" s="1"/>
      <c r="J3144" s="1"/>
      <c r="L3144" s="1"/>
      <c r="N3144" s="1"/>
      <c r="O3144" s="1"/>
      <c r="P3144" s="1"/>
      <c r="Q3144" s="1"/>
      <c r="T3144" s="1"/>
    </row>
    <row r="3145" spans="1:20" x14ac:dyDescent="0.35">
      <c r="A3145" s="37"/>
      <c r="H3145" s="1"/>
      <c r="I3145" s="1"/>
      <c r="J3145" s="1"/>
      <c r="L3145" s="1"/>
      <c r="N3145" s="1"/>
      <c r="O3145" s="1"/>
      <c r="P3145" s="1"/>
      <c r="Q3145" s="1"/>
      <c r="T3145" s="2"/>
    </row>
    <row r="3146" spans="1:20" x14ac:dyDescent="0.35">
      <c r="A3146" s="37"/>
      <c r="H3146" s="1"/>
      <c r="I3146" s="1"/>
      <c r="J3146" s="1"/>
      <c r="L3146" s="1"/>
      <c r="M3146" s="38"/>
      <c r="O3146" s="1"/>
      <c r="P3146" s="1"/>
      <c r="Q3146" s="1"/>
      <c r="T3146" s="2"/>
    </row>
    <row r="3147" spans="1:20" x14ac:dyDescent="0.35">
      <c r="A3147" s="37"/>
      <c r="H3147" s="1"/>
      <c r="I3147" s="1"/>
      <c r="J3147" s="1"/>
      <c r="L3147" s="1"/>
      <c r="M3147" s="38"/>
      <c r="O3147" s="1"/>
      <c r="P3147" s="1"/>
      <c r="Q3147" s="1"/>
      <c r="T3147" s="2"/>
    </row>
    <row r="3148" spans="1:20" x14ac:dyDescent="0.35">
      <c r="A3148" s="37"/>
      <c r="H3148" s="1"/>
      <c r="I3148" s="1"/>
      <c r="J3148" s="1"/>
      <c r="L3148" s="1"/>
      <c r="M3148" s="38"/>
      <c r="O3148" s="1"/>
      <c r="P3148" s="1"/>
      <c r="Q3148" s="1"/>
      <c r="T3148" s="2"/>
    </row>
    <row r="3149" spans="1:20" x14ac:dyDescent="0.35">
      <c r="A3149" s="37"/>
      <c r="H3149" s="1"/>
      <c r="I3149" s="1"/>
      <c r="J3149" s="1"/>
      <c r="L3149" s="1"/>
      <c r="M3149" s="38"/>
      <c r="O3149" s="1"/>
      <c r="P3149" s="1"/>
      <c r="Q3149" s="1"/>
      <c r="T3149" s="2"/>
    </row>
    <row r="3150" spans="1:20" x14ac:dyDescent="0.35">
      <c r="A3150" s="37"/>
      <c r="H3150" s="1"/>
      <c r="I3150" s="1"/>
      <c r="J3150" s="1"/>
      <c r="L3150" s="1"/>
      <c r="M3150" s="38"/>
      <c r="O3150" s="1"/>
      <c r="P3150" s="1"/>
      <c r="Q3150" s="1"/>
      <c r="T3150" s="2"/>
    </row>
    <row r="3151" spans="1:20" x14ac:dyDescent="0.35">
      <c r="A3151" s="37"/>
      <c r="H3151" s="1"/>
      <c r="I3151" s="1"/>
      <c r="J3151" s="1"/>
      <c r="L3151" s="1"/>
      <c r="M3151" s="38"/>
      <c r="O3151" s="1"/>
      <c r="P3151" s="1"/>
      <c r="Q3151" s="1"/>
      <c r="T3151" s="2"/>
    </row>
    <row r="3152" spans="1:20" x14ac:dyDescent="0.35">
      <c r="A3152" s="37"/>
      <c r="H3152" s="1"/>
      <c r="I3152" s="1"/>
      <c r="J3152" s="1"/>
      <c r="L3152" s="1"/>
      <c r="M3152" s="38"/>
      <c r="O3152" s="1"/>
      <c r="P3152" s="1"/>
      <c r="Q3152" s="1"/>
      <c r="T3152" s="2"/>
    </row>
    <row r="3153" spans="1:20" x14ac:dyDescent="0.35">
      <c r="A3153" s="37"/>
      <c r="H3153" s="1"/>
      <c r="I3153" s="1"/>
      <c r="J3153" s="1"/>
      <c r="L3153" s="1"/>
      <c r="M3153" s="38"/>
      <c r="O3153" s="1"/>
      <c r="P3153" s="1"/>
      <c r="Q3153" s="1"/>
      <c r="T3153" s="2"/>
    </row>
    <row r="3154" spans="1:20" x14ac:dyDescent="0.35">
      <c r="A3154" s="37"/>
      <c r="H3154" s="1"/>
      <c r="I3154" s="1"/>
      <c r="J3154" s="1"/>
      <c r="L3154" s="1"/>
      <c r="M3154" s="38"/>
      <c r="O3154" s="1"/>
      <c r="P3154" s="1"/>
      <c r="Q3154" s="1"/>
      <c r="T3154" s="2"/>
    </row>
    <row r="3155" spans="1:20" x14ac:dyDescent="0.35">
      <c r="A3155" s="37"/>
      <c r="H3155" s="1"/>
      <c r="I3155" s="1"/>
      <c r="J3155" s="1"/>
      <c r="L3155" s="1"/>
      <c r="M3155" s="38"/>
      <c r="O3155" s="1"/>
      <c r="P3155" s="1"/>
      <c r="Q3155" s="1"/>
      <c r="T3155" s="2"/>
    </row>
    <row r="3156" spans="1:20" x14ac:dyDescent="0.35">
      <c r="A3156" s="37"/>
      <c r="H3156" s="1"/>
      <c r="I3156" s="1"/>
      <c r="J3156" s="1"/>
      <c r="L3156" s="1"/>
      <c r="O3156" s="1"/>
      <c r="P3156" s="1"/>
      <c r="Q3156" s="1"/>
      <c r="T3156" s="2"/>
    </row>
    <row r="3157" spans="1:20" x14ac:dyDescent="0.35">
      <c r="A3157" s="37"/>
      <c r="H3157" s="1"/>
      <c r="I3157" s="1"/>
      <c r="J3157" s="1"/>
      <c r="L3157" s="1"/>
      <c r="O3157" s="1"/>
      <c r="P3157" s="1"/>
      <c r="Q3157" s="1"/>
      <c r="T3157" s="1"/>
    </row>
    <row r="3158" spans="1:20" x14ac:dyDescent="0.35">
      <c r="A3158" s="37"/>
      <c r="H3158" s="1"/>
      <c r="I3158" s="1"/>
      <c r="J3158" s="1"/>
      <c r="L3158" s="1"/>
      <c r="O3158" s="1"/>
      <c r="P3158" s="1"/>
      <c r="Q3158" s="1"/>
      <c r="T3158" s="1"/>
    </row>
    <row r="3159" spans="1:20" x14ac:dyDescent="0.35">
      <c r="A3159" s="37"/>
      <c r="H3159" s="1"/>
      <c r="I3159" s="1"/>
      <c r="J3159" s="1"/>
      <c r="L3159" s="1"/>
      <c r="O3159" s="1"/>
      <c r="P3159" s="1"/>
      <c r="Q3159" s="1"/>
      <c r="T3159" s="1"/>
    </row>
    <row r="3160" spans="1:20" x14ac:dyDescent="0.35">
      <c r="A3160" s="37"/>
      <c r="H3160" s="1"/>
      <c r="I3160" s="1"/>
      <c r="J3160" s="1"/>
      <c r="L3160" s="1"/>
      <c r="O3160" s="1"/>
      <c r="P3160" s="1"/>
      <c r="Q3160" s="1"/>
      <c r="T3160" s="1"/>
    </row>
    <row r="3161" spans="1:20" x14ac:dyDescent="0.35">
      <c r="A3161" s="37"/>
      <c r="H3161" s="1"/>
      <c r="I3161" s="1"/>
      <c r="J3161" s="1"/>
      <c r="L3161" s="1"/>
      <c r="N3161" s="1"/>
      <c r="O3161" s="1"/>
      <c r="P3161" s="1"/>
      <c r="Q3161" s="1"/>
      <c r="T3161" s="2"/>
    </row>
    <row r="3162" spans="1:20" x14ac:dyDescent="0.35">
      <c r="A3162" s="37"/>
      <c r="H3162" s="1"/>
      <c r="I3162" s="1"/>
      <c r="J3162" s="1"/>
      <c r="L3162" s="1"/>
      <c r="M3162" s="39"/>
      <c r="O3162" s="1"/>
      <c r="P3162" s="1"/>
      <c r="Q3162" s="1"/>
      <c r="T3162" s="2"/>
    </row>
    <row r="3163" spans="1:20" x14ac:dyDescent="0.35">
      <c r="A3163" s="37"/>
      <c r="H3163" s="1"/>
      <c r="I3163" s="1"/>
      <c r="J3163" s="1"/>
      <c r="L3163" s="1"/>
      <c r="M3163" s="38"/>
      <c r="O3163" s="1"/>
      <c r="P3163" s="1"/>
      <c r="Q3163" s="1"/>
      <c r="T3163" s="2"/>
    </row>
    <row r="3164" spans="1:20" x14ac:dyDescent="0.35">
      <c r="A3164" s="37"/>
      <c r="H3164" s="1"/>
      <c r="I3164" s="1"/>
      <c r="J3164" s="1"/>
      <c r="L3164" s="1"/>
      <c r="M3164" s="38"/>
      <c r="O3164" s="1"/>
      <c r="P3164" s="1"/>
      <c r="Q3164" s="1"/>
      <c r="T3164" s="2"/>
    </row>
    <row r="3165" spans="1:20" x14ac:dyDescent="0.35">
      <c r="A3165" s="37"/>
      <c r="H3165" s="1"/>
      <c r="I3165" s="1"/>
      <c r="J3165" s="1"/>
      <c r="L3165" s="1"/>
      <c r="M3165" s="38"/>
      <c r="O3165" s="1"/>
      <c r="P3165" s="1"/>
      <c r="Q3165" s="1"/>
      <c r="T3165" s="2"/>
    </row>
    <row r="3166" spans="1:20" x14ac:dyDescent="0.35">
      <c r="A3166" s="37"/>
      <c r="H3166" s="1"/>
      <c r="I3166" s="1"/>
      <c r="J3166" s="1"/>
      <c r="L3166" s="1"/>
      <c r="M3166" s="38"/>
      <c r="O3166" s="1"/>
      <c r="P3166" s="1"/>
      <c r="Q3166" s="1"/>
      <c r="T3166" s="2"/>
    </row>
    <row r="3167" spans="1:20" x14ac:dyDescent="0.35">
      <c r="A3167" s="37"/>
      <c r="H3167" s="1"/>
      <c r="I3167" s="1"/>
      <c r="J3167" s="1"/>
      <c r="L3167" s="1"/>
      <c r="M3167" s="38"/>
      <c r="O3167" s="1"/>
      <c r="P3167" s="1"/>
      <c r="Q3167" s="1"/>
      <c r="T3167" s="2"/>
    </row>
    <row r="3168" spans="1:20" x14ac:dyDescent="0.35">
      <c r="A3168" s="37"/>
      <c r="H3168" s="1"/>
      <c r="I3168" s="1"/>
      <c r="J3168" s="1"/>
      <c r="L3168" s="1"/>
      <c r="M3168" s="38"/>
      <c r="O3168" s="1"/>
      <c r="P3168" s="1"/>
      <c r="Q3168" s="1"/>
      <c r="T3168" s="2"/>
    </row>
    <row r="3169" spans="1:20" x14ac:dyDescent="0.35">
      <c r="A3169" s="37"/>
      <c r="H3169" s="1"/>
      <c r="I3169" s="1"/>
      <c r="J3169" s="1"/>
      <c r="L3169" s="1"/>
      <c r="O3169" s="1"/>
      <c r="P3169" s="1"/>
      <c r="Q3169" s="1"/>
      <c r="T3169" s="2"/>
    </row>
    <row r="3170" spans="1:20" x14ac:dyDescent="0.35">
      <c r="A3170" s="37"/>
      <c r="H3170" s="1"/>
      <c r="I3170" s="1"/>
      <c r="J3170" s="1"/>
      <c r="L3170" s="1"/>
      <c r="O3170" s="1"/>
      <c r="P3170" s="1"/>
      <c r="Q3170" s="1"/>
      <c r="T3170" s="2"/>
    </row>
    <row r="3171" spans="1:20" x14ac:dyDescent="0.35">
      <c r="A3171" s="37"/>
      <c r="H3171" s="1"/>
      <c r="I3171" s="1"/>
      <c r="J3171" s="1"/>
      <c r="L3171" s="1"/>
      <c r="O3171" s="1"/>
      <c r="P3171" s="1"/>
      <c r="Q3171" s="1"/>
      <c r="T3171" s="2"/>
    </row>
    <row r="3172" spans="1:20" x14ac:dyDescent="0.35">
      <c r="A3172" s="37"/>
      <c r="H3172" s="1"/>
      <c r="I3172" s="1"/>
      <c r="J3172" s="1"/>
      <c r="L3172" s="1"/>
      <c r="O3172" s="1"/>
      <c r="P3172" s="1"/>
      <c r="Q3172" s="1"/>
      <c r="T3172" s="2"/>
    </row>
    <row r="3173" spans="1:20" x14ac:dyDescent="0.35">
      <c r="A3173" s="37"/>
      <c r="H3173" s="1"/>
      <c r="I3173" s="1"/>
      <c r="J3173" s="1"/>
      <c r="L3173" s="1"/>
      <c r="N3173" s="1"/>
      <c r="O3173" s="1"/>
      <c r="P3173" s="1"/>
      <c r="Q3173" s="1"/>
      <c r="T3173" s="2"/>
    </row>
    <row r="3174" spans="1:20" x14ac:dyDescent="0.35">
      <c r="A3174" s="37"/>
      <c r="H3174" s="1"/>
      <c r="I3174" s="1"/>
      <c r="J3174" s="1"/>
      <c r="L3174" s="1"/>
      <c r="N3174" s="1"/>
      <c r="O3174" s="1"/>
      <c r="P3174" s="1"/>
      <c r="Q3174" s="1"/>
      <c r="T3174" s="2"/>
    </row>
    <row r="3175" spans="1:20" x14ac:dyDescent="0.35">
      <c r="A3175" s="37"/>
      <c r="H3175" s="1"/>
      <c r="I3175" s="1"/>
      <c r="J3175" s="1"/>
      <c r="L3175" s="1"/>
      <c r="M3175" s="39"/>
      <c r="N3175" s="1"/>
      <c r="O3175" s="1"/>
      <c r="P3175" s="1"/>
      <c r="Q3175" s="1"/>
      <c r="T3175" s="2"/>
    </row>
    <row r="3176" spans="1:20" x14ac:dyDescent="0.35">
      <c r="A3176" s="37"/>
      <c r="H3176" s="1"/>
      <c r="I3176" s="1"/>
      <c r="J3176" s="1"/>
      <c r="L3176" s="1"/>
      <c r="O3176" s="1"/>
      <c r="P3176" s="1"/>
      <c r="Q3176" s="1"/>
      <c r="T3176" s="2"/>
    </row>
    <row r="3177" spans="1:20" x14ac:dyDescent="0.35">
      <c r="A3177" s="37"/>
      <c r="H3177" s="1"/>
      <c r="I3177" s="1"/>
      <c r="J3177" s="1"/>
      <c r="L3177" s="1"/>
      <c r="N3177" s="1"/>
      <c r="O3177" s="1"/>
      <c r="P3177" s="1"/>
      <c r="Q3177" s="1"/>
      <c r="T3177" s="2"/>
    </row>
    <row r="3178" spans="1:20" x14ac:dyDescent="0.35">
      <c r="A3178" s="37"/>
      <c r="H3178" s="1"/>
      <c r="I3178" s="1"/>
      <c r="J3178" s="1"/>
      <c r="L3178" s="1"/>
      <c r="N3178" s="1"/>
      <c r="O3178" s="1"/>
      <c r="P3178" s="1"/>
      <c r="Q3178" s="1"/>
      <c r="T3178" s="1"/>
    </row>
    <row r="3179" spans="1:20" x14ac:dyDescent="0.35">
      <c r="A3179" s="37"/>
      <c r="H3179" s="1"/>
      <c r="I3179" s="1"/>
      <c r="J3179" s="1"/>
      <c r="L3179" s="1"/>
      <c r="N3179" s="1"/>
      <c r="O3179" s="1"/>
      <c r="P3179" s="1"/>
      <c r="Q3179" s="1"/>
      <c r="T3179" s="1"/>
    </row>
    <row r="3180" spans="1:20" x14ac:dyDescent="0.35">
      <c r="A3180" s="37"/>
      <c r="H3180" s="1"/>
      <c r="I3180" s="1"/>
      <c r="J3180" s="1"/>
      <c r="L3180" s="1"/>
      <c r="N3180" s="1"/>
      <c r="O3180" s="1"/>
      <c r="P3180" s="1"/>
      <c r="Q3180" s="1"/>
      <c r="T3180" s="2"/>
    </row>
    <row r="3181" spans="1:20" x14ac:dyDescent="0.35">
      <c r="A3181" s="37"/>
      <c r="H3181" s="1"/>
      <c r="I3181" s="1"/>
      <c r="J3181" s="1"/>
      <c r="L3181" s="1"/>
      <c r="N3181" s="1"/>
      <c r="O3181" s="1"/>
      <c r="P3181" s="1"/>
      <c r="Q3181" s="1"/>
      <c r="T3181" s="1"/>
    </row>
    <row r="3182" spans="1:20" x14ac:dyDescent="0.35">
      <c r="A3182" s="37"/>
      <c r="H3182" s="1"/>
      <c r="I3182" s="1"/>
      <c r="J3182" s="1"/>
      <c r="L3182" s="1"/>
      <c r="N3182" s="1"/>
      <c r="O3182" s="1"/>
      <c r="P3182" s="1"/>
      <c r="Q3182" s="1"/>
      <c r="T3182" s="1"/>
    </row>
    <row r="3183" spans="1:20" x14ac:dyDescent="0.35">
      <c r="A3183" s="37"/>
      <c r="H3183" s="1"/>
      <c r="I3183" s="1"/>
      <c r="J3183" s="1"/>
      <c r="L3183" s="1"/>
      <c r="N3183" s="1"/>
      <c r="O3183" s="1"/>
      <c r="P3183" s="1"/>
      <c r="Q3183" s="1"/>
      <c r="T3183" s="1"/>
    </row>
    <row r="3184" spans="1:20" x14ac:dyDescent="0.35">
      <c r="A3184" s="37"/>
      <c r="H3184" s="1"/>
      <c r="I3184" s="1"/>
      <c r="J3184" s="1"/>
      <c r="L3184" s="1"/>
      <c r="N3184" s="1"/>
      <c r="O3184" s="1"/>
      <c r="P3184" s="1"/>
      <c r="Q3184" s="1"/>
      <c r="T3184" s="1"/>
    </row>
    <row r="3185" spans="1:20" x14ac:dyDescent="0.35">
      <c r="A3185" s="37"/>
      <c r="H3185" s="1"/>
      <c r="I3185" s="1"/>
      <c r="J3185" s="1"/>
      <c r="L3185" s="1"/>
      <c r="N3185" s="1"/>
      <c r="O3185" s="1"/>
      <c r="P3185" s="1"/>
      <c r="Q3185" s="1"/>
      <c r="T3185" s="1"/>
    </row>
    <row r="3186" spans="1:20" x14ac:dyDescent="0.35">
      <c r="A3186" s="37"/>
      <c r="H3186" s="1"/>
      <c r="I3186" s="1"/>
      <c r="J3186" s="1"/>
      <c r="L3186" s="1"/>
      <c r="N3186" s="1"/>
      <c r="O3186" s="1"/>
      <c r="P3186" s="1"/>
      <c r="Q3186" s="1"/>
      <c r="T3186" s="1"/>
    </row>
    <row r="3187" spans="1:20" x14ac:dyDescent="0.35">
      <c r="A3187" s="37"/>
      <c r="H3187" s="1"/>
      <c r="I3187" s="1"/>
      <c r="J3187" s="1"/>
      <c r="L3187" s="1"/>
      <c r="N3187" s="1"/>
      <c r="O3187" s="1"/>
      <c r="P3187" s="1"/>
      <c r="Q3187" s="1"/>
      <c r="T3187" s="2"/>
    </row>
    <row r="3188" spans="1:20" x14ac:dyDescent="0.35">
      <c r="A3188" s="37"/>
      <c r="H3188" s="1"/>
      <c r="I3188" s="1"/>
      <c r="J3188" s="1"/>
      <c r="L3188" s="1"/>
      <c r="N3188" s="1"/>
      <c r="O3188" s="1"/>
      <c r="P3188" s="1"/>
      <c r="Q3188" s="1"/>
      <c r="T3188" s="1"/>
    </row>
    <row r="3189" spans="1:20" x14ac:dyDescent="0.35">
      <c r="A3189" s="37"/>
      <c r="H3189" s="1"/>
      <c r="I3189" s="1"/>
      <c r="J3189" s="1"/>
      <c r="L3189" s="1"/>
      <c r="N3189" s="1"/>
      <c r="O3189" s="1"/>
      <c r="P3189" s="1"/>
      <c r="Q3189" s="1"/>
      <c r="T3189" s="1"/>
    </row>
    <row r="3190" spans="1:20" x14ac:dyDescent="0.35">
      <c r="A3190" s="37"/>
      <c r="H3190" s="1"/>
      <c r="I3190" s="1"/>
      <c r="J3190" s="1"/>
      <c r="L3190" s="1"/>
      <c r="N3190" s="1"/>
      <c r="O3190" s="1"/>
      <c r="P3190" s="1"/>
      <c r="Q3190" s="1"/>
      <c r="T3190" s="2"/>
    </row>
    <row r="3191" spans="1:20" x14ac:dyDescent="0.35">
      <c r="A3191" s="37"/>
      <c r="H3191" s="1"/>
      <c r="I3191" s="1"/>
      <c r="J3191" s="1"/>
      <c r="L3191" s="1"/>
      <c r="N3191" s="1"/>
      <c r="O3191" s="1"/>
      <c r="P3191" s="1"/>
      <c r="Q3191" s="1"/>
      <c r="T3191" s="2"/>
    </row>
    <row r="3192" spans="1:20" x14ac:dyDescent="0.35">
      <c r="A3192" s="37"/>
      <c r="H3192" s="1"/>
      <c r="I3192" s="1"/>
      <c r="J3192" s="1"/>
      <c r="L3192" s="1"/>
      <c r="N3192" s="1"/>
      <c r="O3192" s="1"/>
      <c r="P3192" s="1"/>
      <c r="Q3192" s="1"/>
      <c r="T3192" s="1"/>
    </row>
    <row r="3193" spans="1:20" x14ac:dyDescent="0.35">
      <c r="A3193" s="37"/>
      <c r="H3193" s="1"/>
      <c r="I3193" s="1"/>
      <c r="J3193" s="1"/>
      <c r="L3193" s="1"/>
      <c r="M3193" s="38"/>
      <c r="N3193" s="1"/>
      <c r="O3193" s="1"/>
      <c r="P3193" s="1"/>
      <c r="Q3193" s="1"/>
      <c r="T3193" s="1"/>
    </row>
    <row r="3194" spans="1:20" x14ac:dyDescent="0.35">
      <c r="A3194" s="37"/>
      <c r="H3194" s="1"/>
      <c r="I3194" s="1"/>
      <c r="J3194" s="1"/>
      <c r="L3194" s="1"/>
      <c r="N3194" s="1"/>
      <c r="O3194" s="1"/>
      <c r="P3194" s="1"/>
      <c r="Q3194" s="1"/>
      <c r="T3194" s="1"/>
    </row>
    <row r="3195" spans="1:20" x14ac:dyDescent="0.35">
      <c r="A3195" s="37"/>
      <c r="H3195" s="1"/>
      <c r="I3195" s="1"/>
      <c r="J3195" s="1"/>
      <c r="L3195" s="1"/>
      <c r="N3195" s="1"/>
      <c r="O3195" s="1"/>
      <c r="P3195" s="1"/>
      <c r="Q3195" s="1"/>
      <c r="T3195" s="2"/>
    </row>
    <row r="3196" spans="1:20" x14ac:dyDescent="0.35">
      <c r="A3196" s="37"/>
      <c r="H3196" s="1"/>
      <c r="I3196" s="1"/>
      <c r="J3196" s="1"/>
      <c r="L3196" s="1"/>
      <c r="N3196" s="1"/>
      <c r="O3196" s="1"/>
      <c r="P3196" s="1"/>
      <c r="Q3196" s="1"/>
      <c r="T3196" s="2"/>
    </row>
    <row r="3197" spans="1:20" x14ac:dyDescent="0.35">
      <c r="A3197" s="37"/>
      <c r="H3197" s="7"/>
      <c r="I3197" s="7"/>
      <c r="J3197" s="7"/>
      <c r="L3197" s="7"/>
      <c r="M3197" s="40"/>
      <c r="O3197" s="1"/>
      <c r="P3197" s="1"/>
      <c r="Q3197" s="1"/>
      <c r="T3197" s="2"/>
    </row>
    <row r="3198" spans="1:20" x14ac:dyDescent="0.35">
      <c r="A3198" s="37"/>
      <c r="H3198" s="7"/>
      <c r="I3198" s="7"/>
      <c r="J3198" s="7"/>
      <c r="L3198" s="7"/>
      <c r="M3198" s="40"/>
      <c r="O3198" s="1"/>
      <c r="P3198" s="1"/>
      <c r="Q3198" s="1"/>
      <c r="T3198" s="2"/>
    </row>
    <row r="3199" spans="1:20" x14ac:dyDescent="0.35">
      <c r="A3199" s="37"/>
      <c r="H3199" s="1"/>
      <c r="I3199" s="1"/>
      <c r="J3199" s="1"/>
      <c r="L3199" s="1"/>
      <c r="N3199" s="1"/>
      <c r="O3199" s="1"/>
      <c r="P3199" s="1"/>
      <c r="Q3199" s="1"/>
      <c r="T3199" s="2"/>
    </row>
    <row r="3200" spans="1:20" x14ac:dyDescent="0.35">
      <c r="A3200" s="37"/>
      <c r="H3200" s="1"/>
      <c r="I3200" s="1"/>
      <c r="J3200" s="1"/>
      <c r="L3200" s="1"/>
      <c r="N3200" s="1"/>
      <c r="O3200" s="1"/>
      <c r="P3200" s="1"/>
      <c r="Q3200" s="1"/>
      <c r="T3200" s="1"/>
    </row>
    <row r="3201" spans="1:20" x14ac:dyDescent="0.35">
      <c r="A3201" s="37"/>
      <c r="H3201" s="1"/>
      <c r="I3201" s="1"/>
      <c r="J3201" s="1"/>
      <c r="L3201" s="1"/>
      <c r="N3201" s="1"/>
      <c r="O3201" s="1"/>
      <c r="P3201" s="1"/>
      <c r="Q3201" s="1"/>
      <c r="T3201" s="1"/>
    </row>
    <row r="3202" spans="1:20" x14ac:dyDescent="0.35">
      <c r="A3202" s="37"/>
      <c r="H3202" s="1"/>
      <c r="I3202" s="1"/>
      <c r="J3202" s="1"/>
      <c r="L3202" s="1"/>
      <c r="N3202" s="1"/>
      <c r="O3202" s="1"/>
      <c r="P3202" s="1"/>
      <c r="Q3202" s="1"/>
      <c r="T3202" s="2"/>
    </row>
    <row r="3203" spans="1:20" x14ac:dyDescent="0.35">
      <c r="A3203" s="37"/>
      <c r="H3203" s="1"/>
      <c r="I3203" s="1"/>
      <c r="J3203" s="1"/>
      <c r="L3203" s="1"/>
      <c r="N3203" s="1"/>
      <c r="O3203" s="1"/>
      <c r="P3203" s="1"/>
      <c r="Q3203" s="1"/>
      <c r="T3203" s="2"/>
    </row>
    <row r="3204" spans="1:20" x14ac:dyDescent="0.35">
      <c r="A3204" s="37"/>
      <c r="H3204" s="1"/>
      <c r="I3204" s="1"/>
      <c r="J3204" s="1"/>
      <c r="L3204" s="1"/>
      <c r="N3204" s="1"/>
      <c r="O3204" s="1"/>
      <c r="P3204" s="1"/>
      <c r="Q3204" s="1"/>
      <c r="T3204" s="2"/>
    </row>
    <row r="3205" spans="1:20" x14ac:dyDescent="0.35">
      <c r="A3205" s="37"/>
      <c r="H3205" s="1"/>
      <c r="I3205" s="1"/>
      <c r="J3205" s="1"/>
      <c r="L3205" s="1"/>
      <c r="N3205" s="1"/>
      <c r="O3205" s="1"/>
      <c r="P3205" s="1"/>
      <c r="Q3205" s="1"/>
      <c r="T3205" s="1"/>
    </row>
    <row r="3206" spans="1:20" x14ac:dyDescent="0.35">
      <c r="A3206" s="37"/>
      <c r="H3206" s="1"/>
      <c r="I3206" s="1"/>
      <c r="J3206" s="1"/>
      <c r="L3206" s="1"/>
      <c r="N3206" s="1"/>
      <c r="O3206" s="1"/>
      <c r="P3206" s="1"/>
      <c r="Q3206" s="1"/>
      <c r="T3206" s="2"/>
    </row>
    <row r="3207" spans="1:20" x14ac:dyDescent="0.35">
      <c r="A3207" s="37"/>
      <c r="H3207" s="1"/>
      <c r="I3207" s="1"/>
      <c r="J3207" s="1"/>
      <c r="L3207" s="1"/>
      <c r="O3207" s="1"/>
      <c r="P3207" s="1"/>
      <c r="Q3207" s="1"/>
      <c r="T3207" s="2"/>
    </row>
    <row r="3208" spans="1:20" x14ac:dyDescent="0.35">
      <c r="A3208" s="37"/>
      <c r="H3208" s="1"/>
      <c r="I3208" s="1"/>
      <c r="J3208" s="1"/>
      <c r="L3208" s="1"/>
      <c r="O3208" s="1"/>
      <c r="P3208" s="1"/>
      <c r="Q3208" s="1"/>
      <c r="T3208" s="2"/>
    </row>
    <row r="3209" spans="1:20" x14ac:dyDescent="0.35">
      <c r="A3209" s="37"/>
      <c r="H3209" s="1"/>
      <c r="I3209" s="1"/>
      <c r="J3209" s="1"/>
      <c r="L3209" s="1"/>
      <c r="N3209" s="1"/>
      <c r="O3209" s="1"/>
      <c r="P3209" s="1"/>
      <c r="Q3209" s="1"/>
      <c r="T3209" s="2"/>
    </row>
    <row r="3210" spans="1:20" x14ac:dyDescent="0.35">
      <c r="A3210" s="37"/>
      <c r="H3210" s="1"/>
      <c r="I3210" s="1"/>
      <c r="J3210" s="1"/>
      <c r="L3210" s="1"/>
      <c r="N3210" s="1"/>
      <c r="O3210" s="1"/>
      <c r="P3210" s="1"/>
      <c r="Q3210" s="1"/>
      <c r="T3210" s="1"/>
    </row>
    <row r="3211" spans="1:20" x14ac:dyDescent="0.35">
      <c r="A3211" s="37"/>
      <c r="H3211" s="1"/>
      <c r="I3211" s="1"/>
      <c r="J3211" s="1"/>
      <c r="L3211" s="1"/>
      <c r="N3211" s="1"/>
      <c r="O3211" s="1"/>
      <c r="P3211" s="1"/>
      <c r="Q3211" s="1"/>
      <c r="T3211" s="1"/>
    </row>
    <row r="3212" spans="1:20" x14ac:dyDescent="0.35">
      <c r="A3212" s="37"/>
      <c r="H3212" s="1"/>
      <c r="I3212" s="1"/>
      <c r="J3212" s="1"/>
      <c r="L3212" s="1"/>
      <c r="N3212" s="1"/>
      <c r="O3212" s="1"/>
      <c r="P3212" s="1"/>
      <c r="Q3212" s="1"/>
      <c r="T3212" s="1"/>
    </row>
    <row r="3213" spans="1:20" x14ac:dyDescent="0.35">
      <c r="A3213" s="37"/>
      <c r="H3213" s="1"/>
      <c r="I3213" s="1"/>
      <c r="J3213" s="1"/>
      <c r="L3213" s="1"/>
      <c r="M3213" s="39"/>
      <c r="N3213" s="1"/>
      <c r="O3213" s="1"/>
      <c r="P3213" s="1"/>
      <c r="Q3213" s="1"/>
      <c r="T3213" s="2"/>
    </row>
    <row r="3214" spans="1:20" x14ac:dyDescent="0.35">
      <c r="A3214" s="37"/>
      <c r="H3214" s="1"/>
      <c r="I3214" s="1"/>
      <c r="J3214" s="1"/>
      <c r="L3214" s="1"/>
      <c r="N3214" s="1"/>
      <c r="O3214" s="1"/>
      <c r="P3214" s="1"/>
      <c r="Q3214" s="1"/>
      <c r="T3214" s="2"/>
    </row>
    <row r="3215" spans="1:20" x14ac:dyDescent="0.35">
      <c r="A3215" s="37"/>
      <c r="H3215" s="1"/>
      <c r="I3215" s="1"/>
      <c r="J3215" s="1"/>
      <c r="L3215" s="1"/>
      <c r="N3215" s="1"/>
      <c r="O3215" s="1"/>
      <c r="P3215" s="1"/>
      <c r="Q3215" s="1"/>
      <c r="T3215" s="2"/>
    </row>
    <row r="3216" spans="1:20" x14ac:dyDescent="0.35">
      <c r="A3216" s="37"/>
      <c r="H3216" s="1"/>
      <c r="I3216" s="1"/>
      <c r="J3216" s="1"/>
      <c r="L3216" s="1"/>
      <c r="N3216" s="1"/>
      <c r="O3216" s="1"/>
      <c r="P3216" s="1"/>
      <c r="Q3216" s="1"/>
      <c r="T3216" s="2"/>
    </row>
    <row r="3217" spans="1:20" x14ac:dyDescent="0.35">
      <c r="A3217" s="37"/>
      <c r="H3217" s="1"/>
      <c r="I3217" s="1"/>
      <c r="J3217" s="1"/>
      <c r="L3217" s="1"/>
      <c r="N3217" s="1"/>
      <c r="O3217" s="1"/>
      <c r="P3217" s="1"/>
      <c r="Q3217" s="1"/>
      <c r="T3217" s="2"/>
    </row>
    <row r="3218" spans="1:20" x14ac:dyDescent="0.35">
      <c r="A3218" s="37"/>
      <c r="H3218" s="1"/>
      <c r="I3218" s="1"/>
      <c r="J3218" s="1"/>
      <c r="L3218" s="1"/>
      <c r="N3218" s="1"/>
      <c r="O3218" s="1"/>
      <c r="P3218" s="1"/>
      <c r="Q3218" s="1"/>
      <c r="T3218" s="1"/>
    </row>
    <row r="3219" spans="1:20" x14ac:dyDescent="0.35">
      <c r="A3219" s="37"/>
      <c r="H3219" s="1"/>
      <c r="I3219" s="1"/>
      <c r="J3219" s="1"/>
      <c r="L3219" s="1"/>
      <c r="N3219" s="1"/>
      <c r="O3219" s="1"/>
      <c r="P3219" s="1"/>
      <c r="Q3219" s="1"/>
      <c r="T3219" s="1"/>
    </row>
    <row r="3220" spans="1:20" x14ac:dyDescent="0.35">
      <c r="A3220" s="37"/>
      <c r="H3220" s="1"/>
      <c r="I3220" s="1"/>
      <c r="J3220" s="1"/>
      <c r="L3220" s="1"/>
      <c r="N3220" s="1"/>
      <c r="O3220" s="1"/>
      <c r="P3220" s="1"/>
      <c r="Q3220" s="1"/>
      <c r="T3220" s="2"/>
    </row>
    <row r="3221" spans="1:20" x14ac:dyDescent="0.35">
      <c r="A3221" s="37"/>
      <c r="H3221" s="1"/>
      <c r="I3221" s="1"/>
      <c r="J3221" s="1"/>
      <c r="L3221" s="1"/>
      <c r="N3221" s="1"/>
      <c r="O3221" s="1"/>
      <c r="P3221" s="1"/>
      <c r="Q3221" s="1"/>
      <c r="T3221" s="2"/>
    </row>
    <row r="3222" spans="1:20" x14ac:dyDescent="0.35">
      <c r="A3222" s="37"/>
      <c r="H3222" s="1"/>
      <c r="I3222" s="1"/>
      <c r="J3222" s="1"/>
      <c r="L3222" s="1"/>
      <c r="N3222" s="1"/>
      <c r="O3222" s="1"/>
      <c r="P3222" s="1"/>
      <c r="Q3222" s="1"/>
      <c r="T3222" s="1"/>
    </row>
    <row r="3223" spans="1:20" x14ac:dyDescent="0.35">
      <c r="A3223" s="37"/>
      <c r="H3223" s="1"/>
      <c r="I3223" s="1"/>
      <c r="J3223" s="1"/>
      <c r="L3223" s="1"/>
      <c r="N3223" s="1"/>
      <c r="O3223" s="1"/>
      <c r="P3223" s="1"/>
      <c r="Q3223" s="1"/>
      <c r="T3223" s="1"/>
    </row>
    <row r="3224" spans="1:20" x14ac:dyDescent="0.35">
      <c r="A3224" s="37"/>
      <c r="H3224" s="1"/>
      <c r="I3224" s="1"/>
      <c r="J3224" s="1"/>
      <c r="L3224" s="1"/>
      <c r="N3224" s="1"/>
      <c r="O3224" s="1"/>
      <c r="P3224" s="1"/>
      <c r="Q3224" s="1"/>
      <c r="T3224" s="1"/>
    </row>
    <row r="3225" spans="1:20" x14ac:dyDescent="0.35">
      <c r="A3225" s="37"/>
      <c r="H3225" s="1"/>
      <c r="I3225" s="1"/>
      <c r="J3225" s="1"/>
      <c r="L3225" s="1"/>
      <c r="N3225" s="1"/>
      <c r="O3225" s="1"/>
      <c r="P3225" s="1"/>
      <c r="Q3225" s="1"/>
      <c r="T3225" s="1"/>
    </row>
    <row r="3226" spans="1:20" x14ac:dyDescent="0.35">
      <c r="A3226" s="37"/>
      <c r="H3226" s="1"/>
      <c r="I3226" s="1"/>
      <c r="J3226" s="1"/>
      <c r="L3226" s="1"/>
      <c r="N3226" s="1"/>
      <c r="O3226" s="1"/>
      <c r="P3226" s="1"/>
      <c r="Q3226" s="1"/>
      <c r="T3226" s="1"/>
    </row>
    <row r="3227" spans="1:20" x14ac:dyDescent="0.35">
      <c r="A3227" s="37"/>
      <c r="H3227" s="1"/>
      <c r="I3227" s="1"/>
      <c r="J3227" s="1"/>
      <c r="L3227" s="1"/>
      <c r="N3227" s="1"/>
      <c r="O3227" s="1"/>
      <c r="P3227" s="1"/>
      <c r="Q3227" s="1"/>
      <c r="T3227" s="1"/>
    </row>
    <row r="3228" spans="1:20" x14ac:dyDescent="0.35">
      <c r="A3228" s="37"/>
      <c r="H3228" s="1"/>
      <c r="I3228" s="1"/>
      <c r="J3228" s="1"/>
      <c r="L3228" s="1"/>
      <c r="N3228" s="1"/>
      <c r="O3228" s="1"/>
      <c r="P3228" s="1"/>
      <c r="Q3228" s="1"/>
      <c r="T3228" s="1"/>
    </row>
    <row r="3229" spans="1:20" x14ac:dyDescent="0.35">
      <c r="A3229" s="37"/>
      <c r="H3229" s="1"/>
      <c r="I3229" s="1"/>
      <c r="J3229" s="1"/>
      <c r="L3229" s="1"/>
      <c r="N3229" s="1"/>
      <c r="O3229" s="1"/>
      <c r="P3229" s="1"/>
      <c r="Q3229" s="1"/>
      <c r="T3229" s="2"/>
    </row>
    <row r="3230" spans="1:20" x14ac:dyDescent="0.35">
      <c r="A3230" s="37"/>
      <c r="H3230" s="1"/>
      <c r="I3230" s="1"/>
      <c r="J3230" s="1"/>
      <c r="L3230" s="1"/>
      <c r="N3230" s="1"/>
      <c r="O3230" s="1"/>
      <c r="P3230" s="1"/>
      <c r="Q3230" s="1"/>
      <c r="T3230" s="2"/>
    </row>
    <row r="3231" spans="1:20" x14ac:dyDescent="0.35">
      <c r="A3231" s="37"/>
      <c r="H3231" s="1"/>
      <c r="I3231" s="1"/>
      <c r="J3231" s="1"/>
      <c r="L3231" s="1"/>
      <c r="O3231" s="1"/>
      <c r="P3231" s="1"/>
      <c r="Q3231" s="1"/>
      <c r="T3231" s="2"/>
    </row>
    <row r="3232" spans="1:20" x14ac:dyDescent="0.35">
      <c r="A3232" s="37"/>
      <c r="H3232" s="1"/>
      <c r="I3232" s="1"/>
      <c r="J3232" s="1"/>
      <c r="L3232" s="1"/>
      <c r="N3232" s="1"/>
      <c r="O3232" s="1"/>
      <c r="P3232" s="1"/>
      <c r="Q3232" s="1"/>
      <c r="T3232" s="1"/>
    </row>
    <row r="3233" spans="1:20" x14ac:dyDescent="0.35">
      <c r="A3233" s="37"/>
      <c r="H3233" s="1"/>
      <c r="I3233" s="1"/>
      <c r="J3233" s="1"/>
      <c r="L3233" s="1"/>
      <c r="N3233" s="1"/>
      <c r="O3233" s="1"/>
      <c r="P3233" s="1"/>
      <c r="Q3233" s="1"/>
      <c r="T3233" s="1"/>
    </row>
    <row r="3234" spans="1:20" x14ac:dyDescent="0.35">
      <c r="A3234" s="37"/>
      <c r="H3234" s="1"/>
      <c r="I3234" s="1"/>
      <c r="J3234" s="1"/>
      <c r="L3234" s="1"/>
      <c r="N3234" s="1"/>
      <c r="O3234" s="1"/>
      <c r="P3234" s="1"/>
      <c r="Q3234" s="1"/>
      <c r="T3234" s="2"/>
    </row>
    <row r="3235" spans="1:20" x14ac:dyDescent="0.35">
      <c r="A3235" s="37"/>
      <c r="H3235" s="1"/>
      <c r="I3235" s="1"/>
      <c r="J3235" s="1"/>
      <c r="L3235" s="1"/>
      <c r="N3235" s="1"/>
      <c r="O3235" s="1"/>
      <c r="P3235" s="1"/>
      <c r="Q3235" s="1"/>
      <c r="T3235" s="1"/>
    </row>
    <row r="3236" spans="1:20" x14ac:dyDescent="0.35">
      <c r="A3236" s="37"/>
      <c r="H3236" s="1"/>
      <c r="I3236" s="1"/>
      <c r="J3236" s="1"/>
      <c r="L3236" s="1"/>
      <c r="N3236" s="1"/>
      <c r="O3236" s="1"/>
      <c r="P3236" s="1"/>
      <c r="Q3236" s="1"/>
      <c r="T3236" s="1"/>
    </row>
    <row r="3237" spans="1:20" x14ac:dyDescent="0.35">
      <c r="A3237" s="37"/>
      <c r="H3237" s="1"/>
      <c r="I3237" s="1"/>
      <c r="J3237" s="1"/>
      <c r="L3237" s="1"/>
      <c r="N3237" s="1"/>
      <c r="O3237" s="1"/>
      <c r="P3237" s="1"/>
      <c r="Q3237" s="1"/>
      <c r="T3237" s="1"/>
    </row>
    <row r="3238" spans="1:20" x14ac:dyDescent="0.35">
      <c r="A3238" s="37"/>
      <c r="H3238" s="1"/>
      <c r="I3238" s="1"/>
      <c r="J3238" s="1"/>
      <c r="L3238" s="1"/>
      <c r="O3238" s="1"/>
      <c r="P3238" s="1"/>
      <c r="Q3238" s="1"/>
      <c r="T3238" s="1"/>
    </row>
    <row r="3239" spans="1:20" x14ac:dyDescent="0.35">
      <c r="A3239" s="37"/>
      <c r="H3239" s="1"/>
      <c r="I3239" s="1"/>
      <c r="J3239" s="1"/>
      <c r="L3239" s="1"/>
      <c r="O3239" s="1"/>
      <c r="P3239" s="1"/>
      <c r="Q3239" s="1"/>
      <c r="T3239" s="2"/>
    </row>
    <row r="3240" spans="1:20" x14ac:dyDescent="0.35">
      <c r="A3240" s="37"/>
      <c r="H3240" s="1"/>
      <c r="I3240" s="1"/>
      <c r="J3240" s="1"/>
      <c r="L3240" s="1"/>
      <c r="N3240" s="1"/>
      <c r="O3240" s="1"/>
      <c r="P3240" s="1"/>
      <c r="Q3240" s="1"/>
      <c r="T3240" s="2"/>
    </row>
    <row r="3241" spans="1:20" x14ac:dyDescent="0.35">
      <c r="A3241" s="37"/>
      <c r="H3241" s="1"/>
      <c r="I3241" s="1"/>
      <c r="J3241" s="1"/>
      <c r="L3241" s="1"/>
      <c r="N3241" s="1"/>
      <c r="O3241" s="1"/>
      <c r="P3241" s="1"/>
      <c r="Q3241" s="1"/>
      <c r="T3241" s="1"/>
    </row>
    <row r="3242" spans="1:20" x14ac:dyDescent="0.35">
      <c r="A3242" s="37"/>
      <c r="H3242" s="1"/>
      <c r="I3242" s="1"/>
      <c r="J3242" s="1"/>
      <c r="L3242" s="1"/>
      <c r="N3242" s="1"/>
      <c r="O3242" s="1"/>
      <c r="P3242" s="1"/>
      <c r="Q3242" s="1"/>
      <c r="T3242" s="1"/>
    </row>
    <row r="3243" spans="1:20" x14ac:dyDescent="0.35">
      <c r="A3243" s="37"/>
      <c r="H3243" s="1"/>
      <c r="I3243" s="1"/>
      <c r="J3243" s="1"/>
      <c r="L3243" s="1"/>
      <c r="N3243" s="1"/>
      <c r="O3243" s="1"/>
      <c r="P3243" s="1"/>
      <c r="Q3243" s="1"/>
      <c r="T3243" s="1"/>
    </row>
    <row r="3244" spans="1:20" x14ac:dyDescent="0.35">
      <c r="A3244" s="37"/>
      <c r="H3244" s="1"/>
      <c r="I3244" s="1"/>
      <c r="J3244" s="1"/>
      <c r="L3244" s="1"/>
      <c r="N3244" s="1"/>
      <c r="O3244" s="1"/>
      <c r="P3244" s="1"/>
      <c r="Q3244" s="1"/>
      <c r="T3244" s="1"/>
    </row>
    <row r="3245" spans="1:20" x14ac:dyDescent="0.35">
      <c r="A3245" s="37"/>
      <c r="H3245" s="1"/>
      <c r="I3245" s="1"/>
      <c r="J3245" s="1"/>
      <c r="L3245" s="1"/>
      <c r="N3245" s="1"/>
      <c r="O3245" s="1"/>
      <c r="P3245" s="1"/>
      <c r="Q3245" s="1"/>
      <c r="T3245" s="1"/>
    </row>
    <row r="3246" spans="1:20" x14ac:dyDescent="0.35">
      <c r="A3246" s="37"/>
      <c r="H3246" s="1"/>
      <c r="I3246" s="1"/>
      <c r="J3246" s="1"/>
      <c r="L3246" s="1"/>
      <c r="N3246" s="1"/>
      <c r="O3246" s="1"/>
      <c r="P3246" s="1"/>
      <c r="Q3246" s="1"/>
      <c r="T3246" s="1"/>
    </row>
    <row r="3247" spans="1:20" x14ac:dyDescent="0.35">
      <c r="A3247" s="37"/>
      <c r="H3247" s="1"/>
      <c r="I3247" s="1"/>
      <c r="J3247" s="1"/>
      <c r="L3247" s="1"/>
      <c r="N3247" s="1"/>
      <c r="O3247" s="1"/>
      <c r="P3247" s="1"/>
      <c r="Q3247" s="1"/>
      <c r="T3247" s="2"/>
    </row>
    <row r="3248" spans="1:20" x14ac:dyDescent="0.35">
      <c r="A3248" s="37"/>
      <c r="H3248" s="1"/>
      <c r="I3248" s="1"/>
      <c r="J3248" s="1"/>
      <c r="L3248" s="1"/>
      <c r="N3248" s="1"/>
      <c r="O3248" s="1"/>
      <c r="P3248" s="1"/>
      <c r="Q3248" s="1"/>
      <c r="T3248" s="2"/>
    </row>
    <row r="3249" spans="1:20" x14ac:dyDescent="0.35">
      <c r="A3249" s="37"/>
      <c r="H3249" s="1"/>
      <c r="I3249" s="1"/>
      <c r="J3249" s="1"/>
      <c r="L3249" s="1"/>
      <c r="N3249" s="1"/>
      <c r="O3249" s="1"/>
      <c r="P3249" s="1"/>
      <c r="Q3249" s="1"/>
      <c r="T3249" s="2"/>
    </row>
    <row r="3250" spans="1:20" x14ac:dyDescent="0.35">
      <c r="A3250" s="37"/>
      <c r="H3250" s="1"/>
      <c r="I3250" s="1"/>
      <c r="J3250" s="1"/>
      <c r="L3250" s="1"/>
      <c r="N3250" s="1"/>
      <c r="O3250" s="1"/>
      <c r="P3250" s="1"/>
      <c r="Q3250" s="1"/>
      <c r="T3250" s="2"/>
    </row>
    <row r="3251" spans="1:20" x14ac:dyDescent="0.35">
      <c r="A3251" s="37"/>
      <c r="H3251" s="1"/>
      <c r="I3251" s="1"/>
      <c r="J3251" s="1"/>
      <c r="L3251" s="1"/>
      <c r="O3251" s="1"/>
      <c r="P3251" s="1"/>
      <c r="Q3251" s="1"/>
      <c r="T3251" s="2"/>
    </row>
    <row r="3252" spans="1:20" x14ac:dyDescent="0.35">
      <c r="A3252" s="37"/>
      <c r="H3252" s="1"/>
      <c r="I3252" s="1"/>
      <c r="J3252" s="1"/>
      <c r="L3252" s="1"/>
      <c r="O3252" s="1"/>
      <c r="P3252" s="1"/>
      <c r="Q3252" s="1"/>
      <c r="T3252" s="2"/>
    </row>
    <row r="3253" spans="1:20" x14ac:dyDescent="0.35">
      <c r="A3253" s="37"/>
      <c r="H3253" s="1"/>
      <c r="I3253" s="1"/>
      <c r="J3253" s="1"/>
      <c r="L3253" s="1"/>
      <c r="O3253" s="1"/>
      <c r="P3253" s="1"/>
      <c r="Q3253" s="1"/>
      <c r="T3253" s="2"/>
    </row>
    <row r="3254" spans="1:20" x14ac:dyDescent="0.35">
      <c r="A3254" s="37"/>
      <c r="H3254" s="1"/>
      <c r="I3254" s="1"/>
      <c r="J3254" s="1"/>
      <c r="L3254" s="1"/>
      <c r="O3254" s="1"/>
      <c r="P3254" s="1"/>
      <c r="Q3254" s="1"/>
      <c r="T3254" s="2"/>
    </row>
    <row r="3255" spans="1:20" x14ac:dyDescent="0.35">
      <c r="A3255" s="37"/>
      <c r="H3255" s="1"/>
      <c r="I3255" s="1"/>
      <c r="J3255" s="1"/>
      <c r="L3255" s="1"/>
      <c r="N3255" s="1"/>
      <c r="O3255" s="1"/>
      <c r="P3255" s="1"/>
      <c r="Q3255" s="1"/>
      <c r="T3255" s="1"/>
    </row>
    <row r="3256" spans="1:20" x14ac:dyDescent="0.35">
      <c r="A3256" s="37"/>
      <c r="H3256" s="1"/>
      <c r="I3256" s="1"/>
      <c r="J3256" s="1"/>
      <c r="L3256" s="1"/>
      <c r="N3256" s="1"/>
      <c r="O3256" s="1"/>
      <c r="P3256" s="1"/>
      <c r="Q3256" s="1"/>
      <c r="T3256" s="1"/>
    </row>
    <row r="3257" spans="1:20" x14ac:dyDescent="0.35">
      <c r="A3257" s="37"/>
      <c r="H3257" s="1"/>
      <c r="I3257" s="1"/>
      <c r="J3257" s="1"/>
      <c r="L3257" s="1"/>
      <c r="N3257" s="1"/>
      <c r="O3257" s="1"/>
      <c r="P3257" s="1"/>
      <c r="Q3257" s="1"/>
      <c r="T3257" s="2"/>
    </row>
    <row r="3258" spans="1:20" x14ac:dyDescent="0.35">
      <c r="A3258" s="37"/>
      <c r="H3258" s="1"/>
      <c r="I3258" s="1"/>
      <c r="J3258" s="1"/>
      <c r="L3258" s="1"/>
      <c r="N3258" s="1"/>
      <c r="O3258" s="1"/>
      <c r="P3258" s="1"/>
      <c r="Q3258" s="1"/>
      <c r="T3258" s="2"/>
    </row>
    <row r="3259" spans="1:20" x14ac:dyDescent="0.35">
      <c r="A3259" s="37"/>
      <c r="H3259" s="1"/>
      <c r="I3259" s="1"/>
      <c r="J3259" s="1"/>
      <c r="L3259" s="1"/>
      <c r="N3259" s="1"/>
      <c r="O3259" s="1"/>
      <c r="P3259" s="1"/>
      <c r="Q3259" s="1"/>
      <c r="T3259" s="1"/>
    </row>
    <row r="3260" spans="1:20" x14ac:dyDescent="0.35">
      <c r="A3260" s="37"/>
      <c r="H3260" s="1"/>
      <c r="I3260" s="1"/>
      <c r="J3260" s="1"/>
      <c r="L3260" s="1"/>
      <c r="N3260" s="1"/>
      <c r="O3260" s="1"/>
      <c r="P3260" s="1"/>
      <c r="Q3260" s="1"/>
      <c r="T3260" s="2"/>
    </row>
    <row r="3261" spans="1:20" x14ac:dyDescent="0.35">
      <c r="A3261" s="37"/>
      <c r="H3261" s="1"/>
      <c r="I3261" s="1"/>
      <c r="J3261" s="1"/>
      <c r="L3261" s="1"/>
      <c r="N3261" s="1"/>
      <c r="O3261" s="1"/>
      <c r="P3261" s="1"/>
      <c r="Q3261" s="1"/>
      <c r="T3261" s="1"/>
    </row>
    <row r="3262" spans="1:20" x14ac:dyDescent="0.35">
      <c r="A3262" s="37"/>
      <c r="H3262" s="1"/>
      <c r="I3262" s="1"/>
      <c r="J3262" s="1"/>
      <c r="L3262" s="1"/>
      <c r="N3262" s="1"/>
      <c r="O3262" s="1"/>
      <c r="P3262" s="1"/>
      <c r="Q3262" s="1"/>
      <c r="T3262" s="2"/>
    </row>
    <row r="3263" spans="1:20" x14ac:dyDescent="0.35">
      <c r="A3263" s="37"/>
      <c r="H3263" s="1"/>
      <c r="I3263" s="1"/>
      <c r="J3263" s="1"/>
      <c r="L3263" s="1"/>
      <c r="N3263" s="1"/>
      <c r="O3263" s="1"/>
      <c r="P3263" s="1"/>
      <c r="Q3263" s="1"/>
      <c r="T3263" s="2"/>
    </row>
    <row r="3264" spans="1:20" x14ac:dyDescent="0.35">
      <c r="A3264" s="37"/>
      <c r="H3264" s="1"/>
      <c r="I3264" s="1"/>
      <c r="J3264" s="1"/>
      <c r="L3264" s="1"/>
      <c r="N3264" s="1"/>
      <c r="O3264" s="1"/>
      <c r="P3264" s="1"/>
      <c r="Q3264" s="1"/>
      <c r="T3264" s="1"/>
    </row>
    <row r="3265" spans="1:20" x14ac:dyDescent="0.35">
      <c r="A3265" s="37"/>
      <c r="H3265" s="1"/>
      <c r="I3265" s="1"/>
      <c r="J3265" s="1"/>
      <c r="L3265" s="1"/>
      <c r="N3265" s="1"/>
      <c r="O3265" s="1"/>
      <c r="P3265" s="1"/>
      <c r="Q3265" s="1"/>
      <c r="T3265" s="1"/>
    </row>
    <row r="3266" spans="1:20" x14ac:dyDescent="0.35">
      <c r="A3266" s="37"/>
      <c r="H3266" s="1"/>
      <c r="I3266" s="1"/>
      <c r="J3266" s="1"/>
      <c r="L3266" s="1"/>
      <c r="N3266" s="1"/>
      <c r="O3266" s="1"/>
      <c r="P3266" s="1"/>
      <c r="Q3266" s="1"/>
      <c r="T3266" s="2"/>
    </row>
    <row r="3267" spans="1:20" x14ac:dyDescent="0.35">
      <c r="A3267" s="37"/>
      <c r="H3267" s="1"/>
      <c r="I3267" s="1"/>
      <c r="J3267" s="1"/>
      <c r="L3267" s="1"/>
      <c r="N3267" s="1"/>
      <c r="O3267" s="1"/>
      <c r="P3267" s="1"/>
      <c r="Q3267" s="1"/>
      <c r="T3267" s="1"/>
    </row>
    <row r="3268" spans="1:20" x14ac:dyDescent="0.35">
      <c r="A3268" s="37"/>
      <c r="H3268" s="1"/>
      <c r="I3268" s="1"/>
      <c r="J3268" s="1"/>
      <c r="L3268" s="1"/>
      <c r="N3268" s="1"/>
      <c r="O3268" s="1"/>
      <c r="P3268" s="1"/>
      <c r="Q3268" s="1"/>
      <c r="T3268" s="1"/>
    </row>
    <row r="3269" spans="1:20" x14ac:dyDescent="0.35">
      <c r="A3269" s="37"/>
      <c r="H3269" s="1"/>
      <c r="I3269" s="1"/>
      <c r="J3269" s="1"/>
      <c r="L3269" s="1"/>
      <c r="N3269" s="1"/>
      <c r="O3269" s="1"/>
      <c r="P3269" s="1"/>
      <c r="Q3269" s="1"/>
      <c r="T3269" s="2"/>
    </row>
    <row r="3270" spans="1:20" x14ac:dyDescent="0.35">
      <c r="A3270" s="37"/>
      <c r="H3270" s="1"/>
      <c r="I3270" s="1"/>
      <c r="J3270" s="1"/>
      <c r="L3270" s="1"/>
      <c r="O3270" s="1"/>
      <c r="P3270" s="1"/>
      <c r="Q3270" s="1"/>
      <c r="T3270" s="2"/>
    </row>
    <row r="3271" spans="1:20" x14ac:dyDescent="0.35">
      <c r="A3271" s="37"/>
      <c r="H3271" s="1"/>
      <c r="I3271" s="1"/>
      <c r="J3271" s="1"/>
      <c r="L3271" s="1"/>
      <c r="N3271" s="1"/>
      <c r="O3271" s="1"/>
      <c r="P3271" s="1"/>
      <c r="Q3271" s="1"/>
      <c r="T3271" s="1"/>
    </row>
    <row r="3272" spans="1:20" x14ac:dyDescent="0.35">
      <c r="A3272" s="37"/>
      <c r="H3272" s="1"/>
      <c r="I3272" s="1"/>
      <c r="J3272" s="1"/>
      <c r="L3272" s="1"/>
      <c r="N3272" s="1"/>
      <c r="O3272" s="1"/>
      <c r="P3272" s="1"/>
      <c r="Q3272" s="1"/>
      <c r="T3272" s="1"/>
    </row>
  </sheetData>
  <autoFilter ref="A3:U3272" xr:uid="{A0C9F7EB-086E-441D-9065-B7CEF438E5EE}">
    <filterColumn colId="18">
      <filters>
        <filter val="February'26"/>
        <filter val="January'26"/>
        <filter val="March'26"/>
      </filters>
    </filterColumn>
  </autoFilter>
  <mergeCells count="1">
    <mergeCell ref="C2:F2"/>
  </mergeCells>
  <hyperlinks>
    <hyperlink ref="F690" r:id="rId1" xr:uid="{DEB40EB4-ADDA-44CE-ABB8-B6E3B5ABC451}"/>
  </hyperlinks>
  <pageMargins left="0.7" right="0.7" top="0.75" bottom="0.75" header="0.3" footer="0.3"/>
  <pageSetup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Depot-SCB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Mohammad Al Amin</dc:creator>
  <cp:lastModifiedBy>USER</cp:lastModifiedBy>
  <cp:lastPrinted>2026-04-20T07:05:47Z</cp:lastPrinted>
  <dcterms:created xsi:type="dcterms:W3CDTF">2015-06-05T18:17:20Z</dcterms:created>
  <dcterms:modified xsi:type="dcterms:W3CDTF">2026-07-22T05:52:53Z</dcterms:modified>
</cp:coreProperties>
</file>